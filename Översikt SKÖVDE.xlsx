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46241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46241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46241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46241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46241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46241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46241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46241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46241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46241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46241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46241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46241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46241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46241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46241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46241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46241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46241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46241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46241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46241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46241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46241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46241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46241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46241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46241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46241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46241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46241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46241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46241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46241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46241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46241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46241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46241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46241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46241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46241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46241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46241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61213-2024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46241</v>
      </c>
      <c r="F45" t="inlineStr">
        <is>
          <t>VÄSTRA GÖTALANDS LÄN</t>
        </is>
      </c>
      <c r="G45" t="inlineStr">
        <is>
          <t>SKÖVDE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Skogsbräsma</t>
        </is>
      </c>
      <c r="W45">
        <f>HYPERLINK("https://klasma.github.io/Logging_1496/artfynd/A 61213-2024 artfynd.xlsx", "A 61213-2024")</f>
        <v/>
      </c>
      <c r="X45">
        <f>HYPERLINK("https://klasma.github.io/Logging_1496/kartor/A 61213-2024 karta.png", "A 61213-2024")</f>
        <v/>
      </c>
      <c r="Y45">
        <f>HYPERLINK("https://klasma.github.io/Logging_1496/kartor_geotiff/A 61213-2024 georefererad karta.tif", "A 61213-2024")</f>
        <v/>
      </c>
      <c r="AA45">
        <f>HYPERLINK("https://klasma.github.io/Logging_1496/klagomål/A 61213-2024 FSC-klagomål.docx", "A 61213-2024")</f>
        <v/>
      </c>
      <c r="AB45">
        <f>HYPERLINK("https://klasma.github.io/Logging_1496/klagomålsmail/A 61213-2024 FSC-klagomål mail.docx", "A 61213-2024")</f>
        <v/>
      </c>
      <c r="AC45">
        <f>HYPERLINK("https://klasma.github.io/Logging_1496/tillsyn/A 61213-2024 tillsynsbegäran.docx", "A 61213-2024")</f>
        <v/>
      </c>
      <c r="AD45">
        <f>HYPERLINK("https://klasma.github.io/Logging_1496/tillsynsmail/A 61213-2024 tillsynsbegäran mail.docx", "A 61213-2024")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46241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46241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46241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29011-2023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46241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5.4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29011-2023 artfynd.xlsx", "A 29011-2023")</f>
        <v/>
      </c>
      <c r="X49">
        <f>HYPERLINK("https://klasma.github.io/Logging_1496/kartor/A 29011-2023 karta.png", "A 29011-2023")</f>
        <v/>
      </c>
      <c r="Y49">
        <f>HYPERLINK("https://klasma.github.io/Logging_1496/kartor_geotiff/A 29011-2023 georefererad karta.tif", "A 29011-2023")</f>
        <v/>
      </c>
      <c r="AA49">
        <f>HYPERLINK("https://klasma.github.io/Logging_1496/klagomål/A 29011-2023 FSC-klagomål.docx", "A 29011-2023")</f>
        <v/>
      </c>
      <c r="AB49">
        <f>HYPERLINK("https://klasma.github.io/Logging_1496/klagomålsmail/A 29011-2023 FSC-klagomål mail.docx", "A 29011-2023")</f>
        <v/>
      </c>
      <c r="AC49">
        <f>HYPERLINK("https://klasma.github.io/Logging_1496/tillsyn/A 29011-2023 tillsynsbegäran.docx", "A 29011-2023")</f>
        <v/>
      </c>
      <c r="AD49">
        <f>HYPERLINK("https://klasma.github.io/Logging_1496/tillsynsmail/A 29011-2023 tillsynsbegäran mail.docx", "A 29011-2023")</f>
        <v/>
      </c>
    </row>
    <row r="50" ht="15" customHeight="1">
      <c r="A50" t="inlineStr">
        <is>
          <t>A 15417-2023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45019</v>
      </c>
      <c r="E50" s="1" t="n">
        <v>46241</v>
      </c>
      <c r="F50" t="inlineStr">
        <is>
          <t>VÄSTRA GÖTALANDS LÄN</t>
        </is>
      </c>
      <c r="G50" t="inlineStr">
        <is>
          <t>SKÖVDE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Gullpudra</t>
        </is>
      </c>
      <c r="W50">
        <f>HYPERLINK("https://klasma.github.io/Logging_1496/artfynd/A 15417-2023 artfynd.xlsx", "A 15417-2023")</f>
        <v/>
      </c>
      <c r="X50">
        <f>HYPERLINK("https://klasma.github.io/Logging_1496/kartor/A 15417-2023 karta.png", "A 15417-2023")</f>
        <v/>
      </c>
      <c r="Y50">
        <f>HYPERLINK("https://klasma.github.io/Logging_1496/kartor_geotiff/A 15417-2023 georefererad karta.tif", "A 15417-2023")</f>
        <v/>
      </c>
      <c r="AA50">
        <f>HYPERLINK("https://klasma.github.io/Logging_1496/klagomål/A 15417-2023 FSC-klagomål.docx", "A 15417-2023")</f>
        <v/>
      </c>
      <c r="AB50">
        <f>HYPERLINK("https://klasma.github.io/Logging_1496/klagomålsmail/A 15417-2023 FSC-klagomål mail.docx", "A 15417-2023")</f>
        <v/>
      </c>
      <c r="AC50">
        <f>HYPERLINK("https://klasma.github.io/Logging_1496/tillsyn/A 15417-2023 tillsynsbegäran.docx", "A 15417-2023")</f>
        <v/>
      </c>
      <c r="AD50">
        <f>HYPERLINK("https://klasma.github.io/Logging_1496/tillsynsmail/A 15417-2023 tillsynsbegäran mail.docx", "A 15417-2023")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46241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10602-2023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46241</v>
      </c>
      <c r="F52" t="inlineStr">
        <is>
          <t>VÄSTRA GÖTALANDS LÄN</t>
        </is>
      </c>
      <c r="G52" t="inlineStr">
        <is>
          <t>SKÖVDE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10602-2023 artfynd.xlsx", "A 10602-2023")</f>
        <v/>
      </c>
      <c r="X52">
        <f>HYPERLINK("https://klasma.github.io/Logging_1496/kartor/A 10602-2023 karta.png", "A 10602-2023")</f>
        <v/>
      </c>
      <c r="Y52">
        <f>HYPERLINK("https://klasma.github.io/Logging_1496/kartor_geotiff/A 10602-2023 georefererad karta.tif", "A 10602-2023")</f>
        <v/>
      </c>
      <c r="AA52">
        <f>HYPERLINK("https://klasma.github.io/Logging_1496/klagomål/A 10602-2023 FSC-klagomål.docx", "A 10602-2023")</f>
        <v/>
      </c>
      <c r="AB52">
        <f>HYPERLINK("https://klasma.github.io/Logging_1496/klagomålsmail/A 10602-2023 FSC-klagomål mail.docx", "A 10602-2023")</f>
        <v/>
      </c>
      <c r="AC52">
        <f>HYPERLINK("https://klasma.github.io/Logging_1496/tillsyn/A 10602-2023 tillsynsbegäran.docx", "A 10602-2023")</f>
        <v/>
      </c>
      <c r="AD52">
        <f>HYPERLINK("https://klasma.github.io/Logging_1496/tillsynsmail/A 10602-2023 tillsynsbegäran mail.docx", "A 10602-2023")</f>
        <v/>
      </c>
    </row>
    <row r="53" ht="15" customHeight="1">
      <c r="A53" t="inlineStr">
        <is>
          <t>A 4464-2026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46241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Myskmadra</t>
        </is>
      </c>
      <c r="W53">
        <f>HYPERLINK("https://klasma.github.io/Logging_1496/artfynd/A 4464-2026 artfynd.xlsx", "A 4464-2026")</f>
        <v/>
      </c>
      <c r="X53">
        <f>HYPERLINK("https://klasma.github.io/Logging_1496/kartor/A 4464-2026 karta.png", "A 4464-2026")</f>
        <v/>
      </c>
      <c r="Y53">
        <f>HYPERLINK("https://klasma.github.io/Logging_1496/kartor_geotiff/A 4464-2026 georefererad karta.tif", "A 4464-2026")</f>
        <v/>
      </c>
      <c r="AA53">
        <f>HYPERLINK("https://klasma.github.io/Logging_1496/klagomål/A 4464-2026 FSC-klagomål.docx", "A 4464-2026")</f>
        <v/>
      </c>
      <c r="AB53">
        <f>HYPERLINK("https://klasma.github.io/Logging_1496/klagomålsmail/A 4464-2026 FSC-klagomål mail.docx", "A 4464-2026")</f>
        <v/>
      </c>
      <c r="AC53">
        <f>HYPERLINK("https://klasma.github.io/Logging_1496/tillsyn/A 4464-2026 tillsynsbegäran.docx", "A 4464-2026")</f>
        <v/>
      </c>
      <c r="AD53">
        <f>HYPERLINK("https://klasma.github.io/Logging_1496/tillsynsmail/A 4464-2026 tillsynsbegäran mail.docx", "A 4464-2026")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46241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46241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46241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46241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26800-2026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46241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HYPERLINK("https://klasma.github.io/Logging_1496/artfynd/A 26800-2026 artfynd.xlsx", "A 26800-2026")</f>
        <v/>
      </c>
      <c r="X58">
        <f>HYPERLINK("https://klasma.github.io/Logging_1496/kartor/A 26800-2026 karta.png", "A 26800-2026")</f>
        <v/>
      </c>
      <c r="Y58">
        <f>HYPERLINK("https://klasma.github.io/Logging_1496/kartor_geotiff/A 26800-2026 georefererad karta.tif", "A 26800-2026")</f>
        <v/>
      </c>
      <c r="AA58">
        <f>HYPERLINK("https://klasma.github.io/Logging_1496/klagomål/A 26800-2026 FSC-klagomål.docx", "A 26800-2026")</f>
        <v/>
      </c>
      <c r="AB58">
        <f>HYPERLINK("https://klasma.github.io/Logging_1496/klagomålsmail/A 26800-2026 FSC-klagomål mail.docx", "A 26800-2026")</f>
        <v/>
      </c>
      <c r="AC58">
        <f>HYPERLINK("https://klasma.github.io/Logging_1496/tillsyn/A 26800-2026 tillsynsbegäran.docx", "A 26800-2026")</f>
        <v/>
      </c>
      <c r="AD58">
        <f>HYPERLINK("https://klasma.github.io/Logging_1496/tillsynsmail/A 26800-2026 tillsynsbegäran mail.docx", "A 26800-2026")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46241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HYPERLINK("https://klasma.github.io/Logging_1496/artfynd/A 17452-2023 artfynd.xlsx", "A 17452-2023")</f>
        <v/>
      </c>
      <c r="X59">
        <f>HYPERLINK("https://klasma.github.io/Logging_1496/kartor/A 17452-2023 karta.png", "A 17452-2023")</f>
        <v/>
      </c>
      <c r="Y59">
        <f>HYPERLINK("https://klasma.github.io/Logging_1496/kartor_geotiff/A 17452-2023 georefererad karta.tif", "A 17452-2023")</f>
        <v/>
      </c>
      <c r="AA59">
        <f>HYPERLINK("https://klasma.github.io/Logging_1496/klagomål/A 17452-2023 FSC-klagomål.docx", "A 17452-2023")</f>
        <v/>
      </c>
      <c r="AB59">
        <f>HYPERLINK("https://klasma.github.io/Logging_1496/klagomålsmail/A 17452-2023 FSC-klagomål mail.docx", "A 17452-2023")</f>
        <v/>
      </c>
      <c r="AC59">
        <f>HYPERLINK("https://klasma.github.io/Logging_1496/tillsyn/A 17452-2023 tillsynsbegäran.docx", "A 17452-2023")</f>
        <v/>
      </c>
      <c r="AD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46241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46241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Svinrot</t>
        </is>
      </c>
      <c r="W61">
        <f>HYPERLINK("https://klasma.github.io/Logging_1496/artfynd/A 35919-2023 artfynd.xlsx", "A 35919-2023")</f>
        <v/>
      </c>
      <c r="X61">
        <f>HYPERLINK("https://klasma.github.io/Logging_1496/kartor/A 35919-2023 karta.png", "A 35919-2023")</f>
        <v/>
      </c>
      <c r="Y61">
        <f>HYPERLINK("https://klasma.github.io/Logging_1496/kartor_geotiff/A 35919-2023 georefererad karta.tif", "A 35919-2023")</f>
        <v/>
      </c>
      <c r="AA61">
        <f>HYPERLINK("https://klasma.github.io/Logging_1496/klagomål/A 35919-2023 FSC-klagomål.docx", "A 35919-2023")</f>
        <v/>
      </c>
      <c r="AB61">
        <f>HYPERLINK("https://klasma.github.io/Logging_1496/klagomålsmail/A 35919-2023 FSC-klagomål mail.docx", "A 35919-2023")</f>
        <v/>
      </c>
      <c r="AC61">
        <f>HYPERLINK("https://klasma.github.io/Logging_1496/tillsyn/A 35919-2023 tillsynsbegäran.docx", "A 35919-2023")</f>
        <v/>
      </c>
      <c r="AD61">
        <f>HYPERLINK("https://klasma.github.io/Logging_1496/tillsynsmail/A 35919-2023 tillsynsbegäran mail.docx", "A 35919-2023")</f>
        <v/>
      </c>
    </row>
    <row r="62" ht="15" customHeight="1">
      <c r="A62" t="inlineStr">
        <is>
          <t>A 42904-2023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45182</v>
      </c>
      <c r="E62" s="1" t="n">
        <v>46241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Grönvit nattviol</t>
        </is>
      </c>
      <c r="W62">
        <f>HYPERLINK("https://klasma.github.io/Logging_1496/artfynd/A 42904-2023 artfynd.xlsx", "A 42904-2023")</f>
        <v/>
      </c>
      <c r="X62">
        <f>HYPERLINK("https://klasma.github.io/Logging_1496/kartor/A 42904-2023 karta.png", "A 42904-2023")</f>
        <v/>
      </c>
      <c r="Y62">
        <f>HYPERLINK("https://klasma.github.io/Logging_1496/kartor_geotiff/A 42904-2023 georefererad karta.tif", "A 42904-2023")</f>
        <v/>
      </c>
      <c r="AA62">
        <f>HYPERLINK("https://klasma.github.io/Logging_1496/klagomål/A 42904-2023 FSC-klagomål.docx", "A 42904-2023")</f>
        <v/>
      </c>
      <c r="AB62">
        <f>HYPERLINK("https://klasma.github.io/Logging_1496/klagomålsmail/A 42904-2023 FSC-klagomål mail.docx", "A 42904-2023")</f>
        <v/>
      </c>
      <c r="AC62">
        <f>HYPERLINK("https://klasma.github.io/Logging_1496/tillsyn/A 42904-2023 tillsynsbegäran.docx", "A 42904-2023")</f>
        <v/>
      </c>
      <c r="AD62">
        <f>HYPERLINK("https://klasma.github.io/Logging_1496/tillsynsmail/A 42904-2023 tillsynsbegäran mail.docx", "A 42904-2023")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46241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46241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46241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46241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46241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46241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46241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46241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46241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46241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46241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46241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46241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46241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46241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46241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46241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46241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46241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46241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46241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46241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46241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46241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46241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46241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46241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46241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46241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46241</v>
      </c>
      <c r="F92" t="inlineStr">
        <is>
          <t>VÄSTRA GÖTALANDS LÄN</t>
        </is>
      </c>
      <c r="G92" t="inlineStr">
        <is>
          <t>SKÖVDE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46241</v>
      </c>
      <c r="F93" t="inlineStr">
        <is>
          <t>VÄSTRA GÖTALANDS LÄN</t>
        </is>
      </c>
      <c r="G93" t="inlineStr">
        <is>
          <t>SKÖVDE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45322</v>
      </c>
      <c r="E94" s="1" t="n">
        <v>46241</v>
      </c>
      <c r="F94" t="inlineStr">
        <is>
          <t>VÄSTRA GÖTALANDS LÄN</t>
        </is>
      </c>
      <c r="G94" t="inlineStr">
        <is>
          <t>SKÖVDE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46241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46241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46241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46241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46241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46241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46241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46241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46241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46241</v>
      </c>
      <c r="F104" t="inlineStr">
        <is>
          <t>VÄSTRA GÖTALANDS LÄN</t>
        </is>
      </c>
      <c r="G104" t="inlineStr">
        <is>
          <t>SKÖVDE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46241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46241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46241</v>
      </c>
      <c r="F107" t="inlineStr">
        <is>
          <t>VÄSTRA GÖTALANDS LÄN</t>
        </is>
      </c>
      <c r="G107" t="inlineStr">
        <is>
          <t>SKÖVDE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46241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46241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45547</v>
      </c>
      <c r="E110" s="1" t="n">
        <v>46241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46241</v>
      </c>
      <c r="F111" t="inlineStr">
        <is>
          <t>VÄSTRA GÖTALANDS LÄN</t>
        </is>
      </c>
      <c r="G111" t="inlineStr">
        <is>
          <t>SKÖVDE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46241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46241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46241</v>
      </c>
      <c r="F114" t="inlineStr">
        <is>
          <t>VÄSTRA GÖTALANDS LÄN</t>
        </is>
      </c>
      <c r="G114" t="inlineStr">
        <is>
          <t>SKÖVDE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46241</v>
      </c>
      <c r="F115" t="inlineStr">
        <is>
          <t>VÄSTRA GÖTALANDS LÄN</t>
        </is>
      </c>
      <c r="G115" t="inlineStr">
        <is>
          <t>SKÖVDE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46241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44425</v>
      </c>
      <c r="E117" s="1" t="n">
        <v>46241</v>
      </c>
      <c r="F117" t="inlineStr">
        <is>
          <t>VÄSTRA GÖTALANDS LÄN</t>
        </is>
      </c>
      <c r="G117" t="inlineStr">
        <is>
          <t>SKÖVDE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44750</v>
      </c>
      <c r="E118" s="1" t="n">
        <v>46241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45590</v>
      </c>
      <c r="E119" s="1" t="n">
        <v>46241</v>
      </c>
      <c r="F119" t="inlineStr">
        <is>
          <t>VÄSTRA GÖTALANDS LÄN</t>
        </is>
      </c>
      <c r="G119" t="inlineStr">
        <is>
          <t>SKÖVDE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46241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Kyrkan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45853</v>
      </c>
      <c r="E121" s="1" t="n">
        <v>46241</v>
      </c>
      <c r="F121" t="inlineStr">
        <is>
          <t>VÄSTRA GÖTALANDS LÄN</t>
        </is>
      </c>
      <c r="G121" t="inlineStr">
        <is>
          <t>SKÖVDE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45756</v>
      </c>
      <c r="E122" s="1" t="n">
        <v>46241</v>
      </c>
      <c r="F122" t="inlineStr">
        <is>
          <t>VÄSTRA GÖTALANDS LÄN</t>
        </is>
      </c>
      <c r="G122" t="inlineStr">
        <is>
          <t>SKÖVDE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44420</v>
      </c>
      <c r="E123" s="1" t="n">
        <v>46241</v>
      </c>
      <c r="F123" t="inlineStr">
        <is>
          <t>VÄSTRA GÖTALANDS LÄN</t>
        </is>
      </c>
      <c r="G123" t="inlineStr">
        <is>
          <t>SKÖVDE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46241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46241</v>
      </c>
      <c r="F125" t="inlineStr">
        <is>
          <t>VÄSTRA GÖTALANDS LÄN</t>
        </is>
      </c>
      <c r="G125" t="inlineStr">
        <is>
          <t>SKÖVDE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46241</v>
      </c>
      <c r="F126" t="inlineStr">
        <is>
          <t>VÄSTRA GÖTALANDS LÄN</t>
        </is>
      </c>
      <c r="G126" t="inlineStr">
        <is>
          <t>SKÖVDE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46241</v>
      </c>
      <c r="F127" t="inlineStr">
        <is>
          <t>VÄSTRA GÖTALANDS LÄN</t>
        </is>
      </c>
      <c r="G127" t="inlineStr">
        <is>
          <t>SKÖVDE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45709</v>
      </c>
      <c r="E128" s="1" t="n">
        <v>46241</v>
      </c>
      <c r="F128" t="inlineStr">
        <is>
          <t>VÄSTRA GÖTALANDS LÄN</t>
        </is>
      </c>
      <c r="G128" t="inlineStr">
        <is>
          <t>SKÖVDE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46241</v>
      </c>
      <c r="F129" t="inlineStr">
        <is>
          <t>VÄSTRA GÖTALANDS LÄN</t>
        </is>
      </c>
      <c r="G129" t="inlineStr">
        <is>
          <t>SKÖVDE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46241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46241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13669-2023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45006</v>
      </c>
      <c r="E132" s="1" t="n">
        <v>46241</v>
      </c>
      <c r="F132" t="inlineStr">
        <is>
          <t>VÄSTRA GÖTALANDS LÄN</t>
        </is>
      </c>
      <c r="G132" t="inlineStr">
        <is>
          <t>SKÖVDE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46241</v>
      </c>
      <c r="F133" t="inlineStr">
        <is>
          <t>VÄSTRA GÖTALANDS LÄN</t>
        </is>
      </c>
      <c r="G133" t="inlineStr">
        <is>
          <t>SKÖVDE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46241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46241</v>
      </c>
      <c r="F135" t="inlineStr">
        <is>
          <t>VÄSTRA GÖTALANDS LÄN</t>
        </is>
      </c>
      <c r="G135" t="inlineStr">
        <is>
          <t>SKÖVDE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46241</v>
      </c>
      <c r="F136" t="inlineStr">
        <is>
          <t>VÄSTRA GÖTALANDS LÄN</t>
        </is>
      </c>
      <c r="G136" t="inlineStr">
        <is>
          <t>SKÖVDE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46241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46241</v>
      </c>
      <c r="F138" t="inlineStr">
        <is>
          <t>VÄSTRA GÖTALANDS LÄN</t>
        </is>
      </c>
      <c r="G138" t="inlineStr">
        <is>
          <t>SKÖVDE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46241</v>
      </c>
      <c r="F139" t="inlineStr">
        <is>
          <t>VÄSTRA GÖTALANDS LÄN</t>
        </is>
      </c>
      <c r="G139" t="inlineStr">
        <is>
          <t>SKÖVDE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46241</v>
      </c>
      <c r="F140" t="inlineStr">
        <is>
          <t>VÄSTRA GÖTALANDS LÄN</t>
        </is>
      </c>
      <c r="G140" t="inlineStr">
        <is>
          <t>SKÖVDE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46241</v>
      </c>
      <c r="F141" t="inlineStr">
        <is>
          <t>VÄSTRA GÖTALANDS LÄN</t>
        </is>
      </c>
      <c r="G141" t="inlineStr">
        <is>
          <t>SKÖVDE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46241</v>
      </c>
      <c r="F142" t="inlineStr">
        <is>
          <t>VÄSTRA GÖTALANDS LÄN</t>
        </is>
      </c>
      <c r="G142" t="inlineStr">
        <is>
          <t>SKÖVDE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46241</v>
      </c>
      <c r="F143" t="inlineStr">
        <is>
          <t>VÄSTRA GÖTALANDS LÄN</t>
        </is>
      </c>
      <c r="G143" t="inlineStr">
        <is>
          <t>SKÖVDE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45693</v>
      </c>
      <c r="E144" s="1" t="n">
        <v>46241</v>
      </c>
      <c r="F144" t="inlineStr">
        <is>
          <t>VÄSTRA GÖTALANDS LÄN</t>
        </is>
      </c>
      <c r="G144" t="inlineStr">
        <is>
          <t>SKÖVDE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46241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46241</v>
      </c>
      <c r="F146" t="inlineStr">
        <is>
          <t>VÄSTRA GÖTALANDS LÄN</t>
        </is>
      </c>
      <c r="G146" t="inlineStr">
        <is>
          <t>SKÖVDE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46241</v>
      </c>
      <c r="F147" t="inlineStr">
        <is>
          <t>VÄSTRA GÖTALANDS LÄN</t>
        </is>
      </c>
      <c r="G147" t="inlineStr">
        <is>
          <t>SKÖVDE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46241</v>
      </c>
      <c r="F148" t="inlineStr">
        <is>
          <t>VÄSTRA GÖTALANDS LÄN</t>
        </is>
      </c>
      <c r="G148" t="inlineStr">
        <is>
          <t>SKÖVDE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46241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46241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26699-2022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44739</v>
      </c>
      <c r="E151" s="1" t="n">
        <v>46241</v>
      </c>
      <c r="F151" t="inlineStr">
        <is>
          <t>VÄSTRA GÖTALANDS LÄN</t>
        </is>
      </c>
      <c r="G151" t="inlineStr">
        <is>
          <t>SKÖVDE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46241</v>
      </c>
      <c r="F152" t="inlineStr">
        <is>
          <t>VÄSTRA GÖTALANDS LÄN</t>
        </is>
      </c>
      <c r="G152" t="inlineStr">
        <is>
          <t>SKÖVDE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45721</v>
      </c>
      <c r="E153" s="1" t="n">
        <v>46241</v>
      </c>
      <c r="F153" t="inlineStr">
        <is>
          <t>VÄSTRA GÖTALANDS LÄN</t>
        </is>
      </c>
      <c r="G153" t="inlineStr">
        <is>
          <t>SKÖVDE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46241</v>
      </c>
      <c r="F154" t="inlineStr">
        <is>
          <t>VÄSTRA GÖTALANDS LÄN</t>
        </is>
      </c>
      <c r="G154" t="inlineStr">
        <is>
          <t>SKÖVDE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46241</v>
      </c>
      <c r="F155" t="inlineStr">
        <is>
          <t>VÄSTRA GÖTALANDS LÄN</t>
        </is>
      </c>
      <c r="G155" t="inlineStr">
        <is>
          <t>SKÖVDE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46241</v>
      </c>
      <c r="F156" t="inlineStr">
        <is>
          <t>VÄSTRA GÖTALANDS LÄN</t>
        </is>
      </c>
      <c r="G156" t="inlineStr">
        <is>
          <t>SKÖVDE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46241</v>
      </c>
      <c r="F157" t="inlineStr">
        <is>
          <t>VÄSTRA GÖTALANDS LÄN</t>
        </is>
      </c>
      <c r="G157" t="inlineStr">
        <is>
          <t>SKÖVDE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46241</v>
      </c>
      <c r="F158" t="inlineStr">
        <is>
          <t>VÄSTRA GÖTALANDS LÄN</t>
        </is>
      </c>
      <c r="G158" t="inlineStr">
        <is>
          <t>SKÖVDE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46241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46241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51886-2021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44462</v>
      </c>
      <c r="E161" s="1" t="n">
        <v>46241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46241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46241</v>
      </c>
      <c r="F163" t="inlineStr">
        <is>
          <t>VÄSTRA GÖTALANDS LÄN</t>
        </is>
      </c>
      <c r="G163" t="inlineStr">
        <is>
          <t>SKÖVDE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17798-2024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45418</v>
      </c>
      <c r="E164" s="1" t="n">
        <v>46241</v>
      </c>
      <c r="F164" t="inlineStr">
        <is>
          <t>VÄSTRA GÖTALANDS LÄN</t>
        </is>
      </c>
      <c r="G164" t="inlineStr">
        <is>
          <t>SKÖVDE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46241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45306</v>
      </c>
      <c r="E166" s="1" t="n">
        <v>46241</v>
      </c>
      <c r="F166" t="inlineStr">
        <is>
          <t>VÄSTRA GÖTALANDS LÄN</t>
        </is>
      </c>
      <c r="G166" t="inlineStr">
        <is>
          <t>SKÖVDE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46241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46241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46241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46241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46241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46241</v>
      </c>
      <c r="F172" t="inlineStr">
        <is>
          <t>VÄSTRA GÖTALANDS LÄN</t>
        </is>
      </c>
      <c r="G172" t="inlineStr">
        <is>
          <t>SKÖVDE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46241</v>
      </c>
      <c r="F173" t="inlineStr">
        <is>
          <t>VÄSTRA GÖTALANDS LÄN</t>
        </is>
      </c>
      <c r="G173" t="inlineStr">
        <is>
          <t>SKÖVDE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46241</v>
      </c>
      <c r="F174" t="inlineStr">
        <is>
          <t>VÄSTRA GÖTALANDS LÄN</t>
        </is>
      </c>
      <c r="G174" t="inlineStr">
        <is>
          <t>SKÖVDE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46241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46241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46017</v>
      </c>
      <c r="E177" s="1" t="n">
        <v>46241</v>
      </c>
      <c r="F177" t="inlineStr">
        <is>
          <t>VÄSTRA GÖTALANDS LÄN</t>
        </is>
      </c>
      <c r="G177" t="inlineStr">
        <is>
          <t>SKÖVDE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46241</v>
      </c>
      <c r="F178" t="inlineStr">
        <is>
          <t>VÄSTRA GÖTALANDS LÄN</t>
        </is>
      </c>
      <c r="G178" t="inlineStr">
        <is>
          <t>SKÖVDE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46241</v>
      </c>
      <c r="F179" t="inlineStr">
        <is>
          <t>VÄSTRA GÖTALANDS LÄN</t>
        </is>
      </c>
      <c r="G179" t="inlineStr">
        <is>
          <t>SKÖVDE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46241</v>
      </c>
      <c r="F180" t="inlineStr">
        <is>
          <t>VÄSTRA GÖTALANDS LÄN</t>
        </is>
      </c>
      <c r="G180" t="inlineStr">
        <is>
          <t>SKÖVDE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46241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46241</v>
      </c>
      <c r="F182" t="inlineStr">
        <is>
          <t>VÄSTRA GÖTALANDS LÄN</t>
        </is>
      </c>
      <c r="G182" t="inlineStr">
        <is>
          <t>SKÖVDE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2901-2026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46038</v>
      </c>
      <c r="E183" s="1" t="n">
        <v>46241</v>
      </c>
      <c r="F183" t="inlineStr">
        <is>
          <t>VÄSTRA GÖTALANDS LÄN</t>
        </is>
      </c>
      <c r="G183" t="inlineStr">
        <is>
          <t>SKÖVDE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46052</v>
      </c>
      <c r="E184" s="1" t="n">
        <v>46241</v>
      </c>
      <c r="F184" t="inlineStr">
        <is>
          <t>VÄSTRA GÖTALANDS LÄN</t>
        </is>
      </c>
      <c r="G184" t="inlineStr">
        <is>
          <t>SKÖVDE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46241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46241</v>
      </c>
      <c r="F186" t="inlineStr">
        <is>
          <t>VÄSTRA GÖTALANDS LÄN</t>
        </is>
      </c>
      <c r="G186" t="inlineStr">
        <is>
          <t>SKÖVDE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46241</v>
      </c>
      <c r="F187" t="inlineStr">
        <is>
          <t>VÄSTRA GÖTALANDS LÄN</t>
        </is>
      </c>
      <c r="G187" t="inlineStr">
        <is>
          <t>SKÖVDE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46241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46241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46009</v>
      </c>
      <c r="E190" s="1" t="n">
        <v>46241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Övriga statliga verk och myndigheter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46241</v>
      </c>
      <c r="F191" t="inlineStr">
        <is>
          <t>VÄSTRA GÖTALANDS LÄN</t>
        </is>
      </c>
      <c r="G191" t="inlineStr">
        <is>
          <t>SKÖVDE</t>
        </is>
      </c>
      <c r="H191" t="inlineStr">
        <is>
          <t>Övriga statliga verk och myndigheter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46241</v>
      </c>
      <c r="F192" t="inlineStr">
        <is>
          <t>VÄSTRA GÖTALANDS LÄN</t>
        </is>
      </c>
      <c r="G192" t="inlineStr">
        <is>
          <t>SKÖVDE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46241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46241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46241</v>
      </c>
      <c r="F195" t="inlineStr">
        <is>
          <t>VÄSTRA GÖTALANDS LÄN</t>
        </is>
      </c>
      <c r="G195" t="inlineStr">
        <is>
          <t>SKÖVDE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46241</v>
      </c>
      <c r="F196" t="inlineStr">
        <is>
          <t>VÄSTRA GÖTALANDS LÄN</t>
        </is>
      </c>
      <c r="G196" t="inlineStr">
        <is>
          <t>SKÖVDE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46241</v>
      </c>
      <c r="F197" t="inlineStr">
        <is>
          <t>VÄSTRA GÖTALANDS LÄN</t>
        </is>
      </c>
      <c r="G197" t="inlineStr">
        <is>
          <t>SKÖVDE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46241</v>
      </c>
      <c r="F198" t="inlineStr">
        <is>
          <t>VÄSTRA GÖTALANDS LÄN</t>
        </is>
      </c>
      <c r="G198" t="inlineStr">
        <is>
          <t>SKÖVDE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46241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46241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46099</v>
      </c>
      <c r="E201" s="1" t="n">
        <v>46241</v>
      </c>
      <c r="F201" t="inlineStr">
        <is>
          <t>VÄSTRA GÖTALANDS LÄN</t>
        </is>
      </c>
      <c r="G201" t="inlineStr">
        <is>
          <t>SKÖVDE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44811</v>
      </c>
      <c r="E202" s="1" t="n">
        <v>46241</v>
      </c>
      <c r="F202" t="inlineStr">
        <is>
          <t>VÄSTRA GÖTALANDS LÄN</t>
        </is>
      </c>
      <c r="G202" t="inlineStr">
        <is>
          <t>SKÖVDE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45134</v>
      </c>
      <c r="E203" s="1" t="n">
        <v>46241</v>
      </c>
      <c r="F203" t="inlineStr">
        <is>
          <t>VÄSTRA GÖTALANDS LÄN</t>
        </is>
      </c>
      <c r="G203" t="inlineStr">
        <is>
          <t>SKÖVDE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46241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46241</v>
      </c>
      <c r="F205" t="inlineStr">
        <is>
          <t>VÄSTRA GÖTALANDS LÄN</t>
        </is>
      </c>
      <c r="G205" t="inlineStr">
        <is>
          <t>SKÖVDE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46241</v>
      </c>
      <c r="F206" t="inlineStr">
        <is>
          <t>VÄSTRA GÖTALANDS LÄN</t>
        </is>
      </c>
      <c r="G206" t="inlineStr">
        <is>
          <t>SKÖVDE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46241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46241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46241</v>
      </c>
      <c r="F209" t="inlineStr">
        <is>
          <t>VÄSTRA GÖTALANDS LÄN</t>
        </is>
      </c>
      <c r="G209" t="inlineStr">
        <is>
          <t>SKÖVDE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46241</v>
      </c>
      <c r="F210" t="inlineStr">
        <is>
          <t>VÄSTRA GÖTALANDS LÄN</t>
        </is>
      </c>
      <c r="G210" t="inlineStr">
        <is>
          <t>SKÖVDE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46182</v>
      </c>
      <c r="E211" s="1" t="n">
        <v>46241</v>
      </c>
      <c r="F211" t="inlineStr">
        <is>
          <t>VÄSTRA GÖTALANDS LÄN</t>
        </is>
      </c>
      <c r="G211" t="inlineStr">
        <is>
          <t>SKÖVDE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46241</v>
      </c>
      <c r="F212" t="inlineStr">
        <is>
          <t>VÄSTRA GÖTALANDS LÄN</t>
        </is>
      </c>
      <c r="G212" t="inlineStr">
        <is>
          <t>SKÖVDE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46241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26914-2026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46185</v>
      </c>
      <c r="E214" s="1" t="n">
        <v>46241</v>
      </c>
      <c r="F214" t="inlineStr">
        <is>
          <t>VÄSTRA GÖTALANDS LÄN</t>
        </is>
      </c>
      <c r="G214" t="inlineStr">
        <is>
          <t>SKÖVDE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46241</v>
      </c>
      <c r="F215" t="inlineStr">
        <is>
          <t>VÄSTRA GÖTALANDS LÄN</t>
        </is>
      </c>
      <c r="G215" t="inlineStr">
        <is>
          <t>SKÖVDE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46241</v>
      </c>
      <c r="F216" t="inlineStr">
        <is>
          <t>VÄSTRA GÖTALANDS LÄN</t>
        </is>
      </c>
      <c r="G216" t="inlineStr">
        <is>
          <t>SKÖVDE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46241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40105-2021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44418</v>
      </c>
      <c r="E218" s="1" t="n">
        <v>46241</v>
      </c>
      <c r="F218" t="inlineStr">
        <is>
          <t>VÄSTRA GÖTALANDS LÄN</t>
        </is>
      </c>
      <c r="G218" t="inlineStr">
        <is>
          <t>SKÖVDE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44963</v>
      </c>
      <c r="E219" s="1" t="n">
        <v>46241</v>
      </c>
      <c r="F219" t="inlineStr">
        <is>
          <t>VÄSTRA GÖTALANDS LÄN</t>
        </is>
      </c>
      <c r="G219" t="inlineStr">
        <is>
          <t>SKÖVDE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44600</v>
      </c>
      <c r="E220" s="1" t="n">
        <v>46241</v>
      </c>
      <c r="F220" t="inlineStr">
        <is>
          <t>VÄSTRA GÖTALANDS LÄN</t>
        </is>
      </c>
      <c r="G220" t="inlineStr">
        <is>
          <t>SKÖVDE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45138</v>
      </c>
      <c r="E221" s="1" t="n">
        <v>46241</v>
      </c>
      <c r="F221" t="inlineStr">
        <is>
          <t>VÄSTRA GÖTALANDS LÄN</t>
        </is>
      </c>
      <c r="G221" t="inlineStr">
        <is>
          <t>SKÖVDE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45013</v>
      </c>
      <c r="E222" s="1" t="n">
        <v>46241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67134-2021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44523</v>
      </c>
      <c r="E223" s="1" t="n">
        <v>46241</v>
      </c>
      <c r="F223" t="inlineStr">
        <is>
          <t>VÄSTRA GÖTALANDS LÄN</t>
        </is>
      </c>
      <c r="G223" t="inlineStr">
        <is>
          <t>SKÖVDE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45105</v>
      </c>
      <c r="E224" s="1" t="n">
        <v>46241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46241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46241</v>
      </c>
      <c r="F226" t="inlineStr">
        <is>
          <t>VÄSTRA GÖTALANDS LÄN</t>
        </is>
      </c>
      <c r="G226" t="inlineStr">
        <is>
          <t>SKÖVDE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44495</v>
      </c>
      <c r="E227" s="1" t="n">
        <v>46241</v>
      </c>
      <c r="F227" t="inlineStr">
        <is>
          <t>VÄSTRA GÖTALANDS LÄN</t>
        </is>
      </c>
      <c r="G227" t="inlineStr">
        <is>
          <t>SKÖVDE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35280-2024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45530</v>
      </c>
      <c r="E228" s="1" t="n">
        <v>46241</v>
      </c>
      <c r="F228" t="inlineStr">
        <is>
          <t>VÄSTRA GÖTALANDS LÄN</t>
        </is>
      </c>
      <c r="G228" t="inlineStr">
        <is>
          <t>SKÖVDE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46241</v>
      </c>
      <c r="F229" t="inlineStr">
        <is>
          <t>VÄSTRA GÖTALANDS LÄN</t>
        </is>
      </c>
      <c r="G229" t="inlineStr">
        <is>
          <t>SKÖVDE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46241</v>
      </c>
      <c r="F230" t="inlineStr">
        <is>
          <t>VÄSTRA GÖTALANDS LÄN</t>
        </is>
      </c>
      <c r="G230" t="inlineStr">
        <is>
          <t>SKÖVDE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46241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45687</v>
      </c>
      <c r="E232" s="1" t="n">
        <v>46241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45215</v>
      </c>
      <c r="E233" s="1" t="n">
        <v>46241</v>
      </c>
      <c r="F233" t="inlineStr">
        <is>
          <t>VÄSTRA GÖTALANDS LÄN</t>
        </is>
      </c>
      <c r="G233" t="inlineStr">
        <is>
          <t>SKÖVDE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44743</v>
      </c>
      <c r="E234" s="1" t="n">
        <v>46241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46241</v>
      </c>
      <c r="F235" t="inlineStr">
        <is>
          <t>VÄSTRA GÖTALANDS LÄN</t>
        </is>
      </c>
      <c r="G235" t="inlineStr">
        <is>
          <t>SKÖVDE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46241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45742</v>
      </c>
      <c r="E237" s="1" t="n">
        <v>46241</v>
      </c>
      <c r="F237" t="inlineStr">
        <is>
          <t>VÄSTRA GÖTALANDS LÄN</t>
        </is>
      </c>
      <c r="G237" t="inlineStr">
        <is>
          <t>SKÖVDE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46241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60588-2023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45259</v>
      </c>
      <c r="E239" s="1" t="n">
        <v>46241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46241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46241</v>
      </c>
      <c r="F241" t="inlineStr">
        <is>
          <t>VÄSTRA GÖTALANDS LÄN</t>
        </is>
      </c>
      <c r="G241" t="inlineStr">
        <is>
          <t>SKÖVDE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46241</v>
      </c>
      <c r="F242" t="inlineStr">
        <is>
          <t>VÄSTRA GÖTALANDS LÄN</t>
        </is>
      </c>
      <c r="G242" t="inlineStr">
        <is>
          <t>SKÖVDE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46241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46241</v>
      </c>
      <c r="F244" t="inlineStr">
        <is>
          <t>VÄSTRA GÖTALANDS LÄN</t>
        </is>
      </c>
      <c r="G244" t="inlineStr">
        <is>
          <t>SKÖVDE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46241</v>
      </c>
      <c r="F245" t="inlineStr">
        <is>
          <t>VÄSTRA GÖTALANDS LÄN</t>
        </is>
      </c>
      <c r="G245" t="inlineStr">
        <is>
          <t>SKÖVDE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46241</v>
      </c>
      <c r="F246" t="inlineStr">
        <is>
          <t>VÄSTRA GÖTALANDS LÄN</t>
        </is>
      </c>
      <c r="G246" t="inlineStr">
        <is>
          <t>SKÖVDE</t>
        </is>
      </c>
      <c r="H246" t="inlineStr">
        <is>
          <t>Kommuner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46241</v>
      </c>
      <c r="F247" t="inlineStr">
        <is>
          <t>VÄSTRA GÖTALANDS LÄN</t>
        </is>
      </c>
      <c r="G247" t="inlineStr">
        <is>
          <t>SKÖVDE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5658-2024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45334</v>
      </c>
      <c r="E248" s="1" t="n">
        <v>46241</v>
      </c>
      <c r="F248" t="inlineStr">
        <is>
          <t>VÄSTRA GÖTALANDS LÄN</t>
        </is>
      </c>
      <c r="G248" t="inlineStr">
        <is>
          <t>SKÖVDE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46241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45800</v>
      </c>
      <c r="E250" s="1" t="n">
        <v>46241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25639-2025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45800</v>
      </c>
      <c r="E251" s="1" t="n">
        <v>46241</v>
      </c>
      <c r="F251" t="inlineStr">
        <is>
          <t>VÄSTRA GÖTALANDS LÄN</t>
        </is>
      </c>
      <c r="G251" t="inlineStr">
        <is>
          <t>SKÖVDE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46241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25642-2025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45803</v>
      </c>
      <c r="E253" s="1" t="n">
        <v>46241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46241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46241</v>
      </c>
      <c r="F255" t="inlineStr">
        <is>
          <t>VÄSTRA GÖTALANDS LÄN</t>
        </is>
      </c>
      <c r="G255" t="inlineStr">
        <is>
          <t>SKÖVDE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46241</v>
      </c>
      <c r="F256" t="inlineStr">
        <is>
          <t>VÄSTRA GÖTALANDS LÄN</t>
        </is>
      </c>
      <c r="G256" t="inlineStr">
        <is>
          <t>SKÖVDE</t>
        </is>
      </c>
      <c r="I256" t="n">
        <v>12.3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46241</v>
      </c>
      <c r="F257" t="inlineStr">
        <is>
          <t>VÄSTRA GÖTALANDS LÄN</t>
        </is>
      </c>
      <c r="G257" t="inlineStr">
        <is>
          <t>SKÖVDE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45821</v>
      </c>
      <c r="E258" s="1" t="n">
        <v>46241</v>
      </c>
      <c r="F258" t="inlineStr">
        <is>
          <t>VÄSTRA GÖTALANDS LÄN</t>
        </is>
      </c>
      <c r="G258" t="inlineStr">
        <is>
          <t>SKÖVDE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46241</v>
      </c>
      <c r="F259" t="inlineStr">
        <is>
          <t>VÄSTRA GÖTALANDS LÄN</t>
        </is>
      </c>
      <c r="G259" t="inlineStr">
        <is>
          <t>SKÖVDE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46241</v>
      </c>
      <c r="F260" t="inlineStr">
        <is>
          <t>VÄSTRA GÖTALANDS LÄN</t>
        </is>
      </c>
      <c r="G260" t="inlineStr">
        <is>
          <t>SKÖVDE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45821</v>
      </c>
      <c r="E261" s="1" t="n">
        <v>46241</v>
      </c>
      <c r="F261" t="inlineStr">
        <is>
          <t>VÄSTRA GÖTALANDS LÄN</t>
        </is>
      </c>
      <c r="G261" t="inlineStr">
        <is>
          <t>SKÖVDE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46241</v>
      </c>
      <c r="F262" t="inlineStr">
        <is>
          <t>VÄSTRA GÖTALANDS LÄN</t>
        </is>
      </c>
      <c r="G262" t="inlineStr">
        <is>
          <t>SKÖVDE</t>
        </is>
      </c>
      <c r="H262" t="inlineStr">
        <is>
          <t>Kommuner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46241</v>
      </c>
      <c r="F263" t="inlineStr">
        <is>
          <t>VÄSTRA GÖTALANDS LÄN</t>
        </is>
      </c>
      <c r="G263" t="inlineStr">
        <is>
          <t>SKÖVDE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46241</v>
      </c>
      <c r="F264" t="inlineStr">
        <is>
          <t>VÄSTRA GÖTALANDS LÄN</t>
        </is>
      </c>
      <c r="G264" t="inlineStr">
        <is>
          <t>SKÖVDE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46241</v>
      </c>
      <c r="F265" t="inlineStr">
        <is>
          <t>VÄSTRA GÖTALANDS LÄN</t>
        </is>
      </c>
      <c r="G265" t="inlineStr">
        <is>
          <t>SKÖVDE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46241</v>
      </c>
      <c r="F266" t="inlineStr">
        <is>
          <t>VÄSTRA GÖTALANDS LÄN</t>
        </is>
      </c>
      <c r="G266" t="inlineStr">
        <is>
          <t>SKÖVDE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46241</v>
      </c>
      <c r="F267" t="inlineStr">
        <is>
          <t>VÄSTRA GÖTALANDS LÄN</t>
        </is>
      </c>
      <c r="G267" t="inlineStr">
        <is>
          <t>SKÖVDE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46241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46241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2026-08-07T01:56:15Z</dcterms:created>
  <dcterms:modified xmlns:dcterms="http://purl.org/dc/terms/" xmlns:xsi="http://www.w3.org/2001/XMLSchema-instance" xsi:type="dcterms:W3CDTF">2026-08-07T01:56:16Z</dcterms:modified>
</cp:coreProperties>
</file>