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46272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46272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46272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46272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46272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46272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46272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46272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46272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46272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46272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46272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46272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46272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46272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46272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46272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46272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46272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46272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46272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46272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46272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46272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46272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46272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46272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46272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46272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46272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46272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46272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46272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Granbronssopp
Fjällig taggsvamp s.str.</t>
        </is>
      </c>
      <c r="W34">
        <f>HYPERLINK("https://klasma.github.io/Logging_1496/artfynd/A 24996-2025 artfynd.xlsx", "A 24996-2025")</f>
        <v/>
      </c>
      <c r="X34">
        <f>HYPERLINK("https://klasma.github.io/Logging_1496/kartor/A 24996-2025 karta.png", "A 24996-2025")</f>
        <v/>
      </c>
      <c r="Y34">
        <f>HYPERLINK("https://klasma.github.io/Logging_1496/kartor_geotiff/A 24996-2025 georefererad karta.tif", "A 24996-2025")</f>
        <v/>
      </c>
      <c r="AA34">
        <f>HYPERLINK("https://klasma.github.io/Logging_1496/klagomål/A 24996-2025 FSC-klagomål.docx", "A 24996-2025")</f>
        <v/>
      </c>
      <c r="AB34">
        <f>HYPERLINK("https://klasma.github.io/Logging_1496/klagomålsmail/A 24996-2025 FSC-klagomål mail.docx", "A 24996-2025")</f>
        <v/>
      </c>
      <c r="AC34">
        <f>HYPERLINK("https://klasma.github.io/Logging_1496/tillsyn/A 24996-2025 tillsynsbegäran.docx", "A 24996-2025")</f>
        <v/>
      </c>
      <c r="AD34">
        <f>HYPERLINK("https://klasma.github.io/Logging_1496/tillsynsmail/A 24996-2025 tillsynsbegäran mail.docx", "A 24996-2025")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46272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46272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Mindre hackspett
Åkergroda</t>
        </is>
      </c>
      <c r="W36">
        <f>HYPERLINK("https://klasma.github.io/Logging_1496/artfynd/A 24383-2025 artfynd.xlsx", "A 24383-2025")</f>
        <v/>
      </c>
      <c r="X36">
        <f>HYPERLINK("https://klasma.github.io/Logging_1496/kartor/A 24383-2025 karta.png", "A 24383-2025")</f>
        <v/>
      </c>
      <c r="Y36">
        <f>HYPERLINK("https://klasma.github.io/Logging_1496/kartor_geotiff/A 24383-2025 georefererad karta.tif", "A 24383-2025")</f>
        <v/>
      </c>
      <c r="AA36">
        <f>HYPERLINK("https://klasma.github.io/Logging_1496/klagomål/A 24383-2025 FSC-klagomål.docx", "A 24383-2025")</f>
        <v/>
      </c>
      <c r="AB36">
        <f>HYPERLINK("https://klasma.github.io/Logging_1496/klagomålsmail/A 24383-2025 FSC-klagomål mail.docx", "A 24383-2025")</f>
        <v/>
      </c>
      <c r="AC36">
        <f>HYPERLINK("https://klasma.github.io/Logging_1496/tillsyn/A 24383-2025 tillsynsbegäran.docx", "A 24383-2025")</f>
        <v/>
      </c>
      <c r="AD36">
        <f>HYPERLINK("https://klasma.github.io/Logging_1496/tillsynsmail/A 24383-2025 tillsynsbegäran mail.docx", "A 24383-2025")</f>
        <v/>
      </c>
      <c r="AE36">
        <f>HYPERLINK("https://klasma.github.io/Logging_1496/fåglar/A 24383-2025 prioriterade fågelarter.docx", "A 24383-2025")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46272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0</v>
      </c>
      <c r="V37" s="2" t="inlineStr">
        <is>
          <t>Ask
Skogsalm</t>
        </is>
      </c>
      <c r="W37">
        <f>HYPERLINK("https://klasma.github.io/Logging_1496/artfynd/A 26907-2026 artfynd.xlsx", "A 26907-2026")</f>
        <v/>
      </c>
      <c r="X37">
        <f>HYPERLINK("https://klasma.github.io/Logging_1496/kartor/A 26907-2026 karta.png", "A 26907-2026")</f>
        <v/>
      </c>
      <c r="Y37">
        <f>HYPERLINK("https://klasma.github.io/Logging_1496/kartor_geotiff/A 26907-2026 georefererad karta.tif", "A 26907-2026")</f>
        <v/>
      </c>
      <c r="AA37">
        <f>HYPERLINK("https://klasma.github.io/Logging_1496/klagomål/A 26907-2026 FSC-klagomål.docx", "A 26907-2026")</f>
        <v/>
      </c>
      <c r="AB37">
        <f>HYPERLINK("https://klasma.github.io/Logging_1496/klagomålsmail/A 26907-2026 FSC-klagomål mail.docx", "A 26907-2026")</f>
        <v/>
      </c>
      <c r="AC37">
        <f>HYPERLINK("https://klasma.github.io/Logging_1496/tillsyn/A 26907-2026 tillsynsbegäran.docx", "A 26907-2026")</f>
        <v/>
      </c>
      <c r="AD37">
        <f>HYPERLINK("https://klasma.github.io/Logging_1496/tillsynsmail/A 26907-2026 tillsynsbegäran mail.docx", "A 26907-2026")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46272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46272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46272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46272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46272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46272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10602-2023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44988</v>
      </c>
      <c r="E44" s="1" t="n">
        <v>46272</v>
      </c>
      <c r="F44" t="inlineStr">
        <is>
          <t>VÄSTRA GÖTALANDS LÄN</t>
        </is>
      </c>
      <c r="G44" t="inlineStr">
        <is>
          <t>SKÖVDE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HYPERLINK("https://klasma.github.io/Logging_1496/artfynd/A 10602-2023 artfynd.xlsx", "A 10602-2023")</f>
        <v/>
      </c>
      <c r="X44">
        <f>HYPERLINK("https://klasma.github.io/Logging_1496/kartor/A 10602-2023 karta.png", "A 10602-2023")</f>
        <v/>
      </c>
      <c r="Y44">
        <f>HYPERLINK("https://klasma.github.io/Logging_1496/kartor_geotiff/A 10602-2023 georefererad karta.tif", "A 10602-2023")</f>
        <v/>
      </c>
      <c r="AA44">
        <f>HYPERLINK("https://klasma.github.io/Logging_1496/klagomål/A 10602-2023 FSC-klagomål.docx", "A 10602-2023")</f>
        <v/>
      </c>
      <c r="AB44">
        <f>HYPERLINK("https://klasma.github.io/Logging_1496/klagomålsmail/A 10602-2023 FSC-klagomål mail.docx", "A 10602-2023")</f>
        <v/>
      </c>
      <c r="AC44">
        <f>HYPERLINK("https://klasma.github.io/Logging_1496/tillsyn/A 10602-2023 tillsynsbegäran.docx", "A 10602-2023")</f>
        <v/>
      </c>
      <c r="AD44">
        <f>HYPERLINK("https://klasma.github.io/Logging_1496/tillsynsmail/A 10602-2023 tillsynsbegäran mail.docx", "A 10602-2023")</f>
        <v/>
      </c>
    </row>
    <row r="45" ht="15" customHeight="1">
      <c r="A45" t="inlineStr">
        <is>
          <t>A 15417-2023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46272</v>
      </c>
      <c r="F45" t="inlineStr">
        <is>
          <t>VÄSTRA GÖTALANDS LÄN</t>
        </is>
      </c>
      <c r="G45" t="inlineStr">
        <is>
          <t>SKÖVDE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Gullpudra</t>
        </is>
      </c>
      <c r="W45">
        <f>HYPERLINK("https://klasma.github.io/Logging_1496/artfynd/A 15417-2023 artfynd.xlsx", "A 15417-2023")</f>
        <v/>
      </c>
      <c r="X45">
        <f>HYPERLINK("https://klasma.github.io/Logging_1496/kartor/A 15417-2023 karta.png", "A 15417-2023")</f>
        <v/>
      </c>
      <c r="Y45">
        <f>HYPERLINK("https://klasma.github.io/Logging_1496/kartor_geotiff/A 15417-2023 georefererad karta.tif", "A 15417-2023")</f>
        <v/>
      </c>
      <c r="AA45">
        <f>HYPERLINK("https://klasma.github.io/Logging_1496/klagomål/A 15417-2023 FSC-klagomål.docx", "A 15417-2023")</f>
        <v/>
      </c>
      <c r="AB45">
        <f>HYPERLINK("https://klasma.github.io/Logging_1496/klagomålsmail/A 15417-2023 FSC-klagomål mail.docx", "A 15417-2023")</f>
        <v/>
      </c>
      <c r="AC45">
        <f>HYPERLINK("https://klasma.github.io/Logging_1496/tillsyn/A 15417-2023 tillsynsbegäran.docx", "A 15417-2023")</f>
        <v/>
      </c>
      <c r="AD45">
        <f>HYPERLINK("https://klasma.github.io/Logging_1496/tillsynsmail/A 15417-2023 tillsynsbegäran mail.docx", "A 15417-2023")</f>
        <v/>
      </c>
    </row>
    <row r="46" ht="15" customHeight="1">
      <c r="A46" t="inlineStr">
        <is>
          <t>A 35919-2023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46272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Svinrot</t>
        </is>
      </c>
      <c r="W46">
        <f>HYPERLINK("https://klasma.github.io/Logging_1496/artfynd/A 35919-2023 artfynd.xlsx", "A 35919-2023")</f>
        <v/>
      </c>
      <c r="X46">
        <f>HYPERLINK("https://klasma.github.io/Logging_1496/kartor/A 35919-2023 karta.png", "A 35919-2023")</f>
        <v/>
      </c>
      <c r="Y46">
        <f>HYPERLINK("https://klasma.github.io/Logging_1496/kartor_geotiff/A 35919-2023 georefererad karta.tif", "A 35919-2023")</f>
        <v/>
      </c>
      <c r="AA46">
        <f>HYPERLINK("https://klasma.github.io/Logging_1496/klagomål/A 35919-2023 FSC-klagomål.docx", "A 35919-2023")</f>
        <v/>
      </c>
      <c r="AB46">
        <f>HYPERLINK("https://klasma.github.io/Logging_1496/klagomålsmail/A 35919-2023 FSC-klagomål mail.docx", "A 35919-2023")</f>
        <v/>
      </c>
      <c r="AC46">
        <f>HYPERLINK("https://klasma.github.io/Logging_1496/tillsyn/A 35919-2023 tillsynsbegäran.docx", "A 35919-2023")</f>
        <v/>
      </c>
      <c r="AD46">
        <f>HYPERLINK("https://klasma.github.io/Logging_1496/tillsynsmail/A 35919-2023 tillsynsbegäran mail.docx", "A 35919-2023")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46272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26712-2025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46272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HYPERLINK("https://klasma.github.io/Logging_1496/artfynd/A 26712-2025 artfynd.xlsx", "A 26712-2025")</f>
        <v/>
      </c>
      <c r="X48">
        <f>HYPERLINK("https://klasma.github.io/Logging_1496/kartor/A 26712-2025 karta.png", "A 26712-2025")</f>
        <v/>
      </c>
      <c r="Y48">
        <f>HYPERLINK("https://klasma.github.io/Logging_1496/kartor_geotiff/A 26712-2025 georefererad karta.tif", "A 26712-2025")</f>
        <v/>
      </c>
      <c r="AA48">
        <f>HYPERLINK("https://klasma.github.io/Logging_1496/klagomål/A 26712-2025 FSC-klagomål.docx", "A 26712-2025")</f>
        <v/>
      </c>
      <c r="AB48">
        <f>HYPERLINK("https://klasma.github.io/Logging_1496/klagomålsmail/A 26712-2025 FSC-klagomål mail.docx", "A 26712-2025")</f>
        <v/>
      </c>
      <c r="AC48">
        <f>HYPERLINK("https://klasma.github.io/Logging_1496/tillsyn/A 26712-2025 tillsynsbegäran.docx", "A 26712-2025")</f>
        <v/>
      </c>
      <c r="AD48">
        <f>HYPERLINK("https://klasma.github.io/Logging_1496/tillsynsmail/A 26712-2025 tillsynsbegäran mail.docx", "A 26712-2025")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46272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HYPERLINK("https://klasma.github.io/Logging_1496/artfynd/A 47869-2025 artfynd.xlsx", "A 47869-2025")</f>
        <v/>
      </c>
      <c r="X49">
        <f>HYPERLINK("https://klasma.github.io/Logging_1496/kartor/A 47869-2025 karta.png", "A 47869-2025")</f>
        <v/>
      </c>
      <c r="Y49">
        <f>HYPERLINK("https://klasma.github.io/Logging_1496/kartor_geotiff/A 47869-2025 georefererad karta.tif", "A 47869-2025")</f>
        <v/>
      </c>
      <c r="AA49">
        <f>HYPERLINK("https://klasma.github.io/Logging_1496/klagomål/A 47869-2025 FSC-klagomål.docx", "A 47869-2025")</f>
        <v/>
      </c>
      <c r="AB49">
        <f>HYPERLINK("https://klasma.github.io/Logging_1496/klagomålsmail/A 47869-2025 FSC-klagomål mail.docx", "A 47869-2025")</f>
        <v/>
      </c>
      <c r="AC49">
        <f>HYPERLINK("https://klasma.github.io/Logging_1496/tillsyn/A 47869-2025 tillsynsbegäran.docx", "A 47869-2025")</f>
        <v/>
      </c>
      <c r="AD49">
        <f>HYPERLINK("https://klasma.github.io/Logging_1496/tillsynsmail/A 47869-2025 tillsynsbegäran mail.docx", "A 47869-2025")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46272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46272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46272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46272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46272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46272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3951-2024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46272</v>
      </c>
      <c r="F56" t="inlineStr">
        <is>
          <t>VÄSTRA GÖTALANDS LÄN</t>
        </is>
      </c>
      <c r="G56" t="inlineStr">
        <is>
          <t>SKÖVDE</t>
        </is>
      </c>
      <c r="I56" t="n">
        <v>10.7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3951-2024 artfynd.xlsx", "A 3951-2024")</f>
        <v/>
      </c>
      <c r="X56">
        <f>HYPERLINK("https://klasma.github.io/Logging_1496/kartor/A 3951-2024 karta.png", "A 3951-2024")</f>
        <v/>
      </c>
      <c r="Y56">
        <f>HYPERLINK("https://klasma.github.io/Logging_1496/kartor_geotiff/A 3951-2024 georefererad karta.tif", "A 3951-2024")</f>
        <v/>
      </c>
      <c r="AA56">
        <f>HYPERLINK("https://klasma.github.io/Logging_1496/klagomål/A 3951-2024 FSC-klagomål.docx", "A 3951-2024")</f>
        <v/>
      </c>
      <c r="AB56">
        <f>HYPERLINK("https://klasma.github.io/Logging_1496/klagomålsmail/A 3951-2024 FSC-klagomål mail.docx", "A 3951-2024")</f>
        <v/>
      </c>
      <c r="AC56">
        <f>HYPERLINK("https://klasma.github.io/Logging_1496/tillsyn/A 3951-2024 tillsynsbegäran.docx", "A 3951-2024")</f>
        <v/>
      </c>
      <c r="AD56">
        <f>HYPERLINK("https://klasma.github.io/Logging_1496/tillsynsmail/A 3951-2024 tillsynsbegäran mail.docx", "A 3951-2024")</f>
        <v/>
      </c>
    </row>
    <row r="57" ht="15" customHeight="1">
      <c r="A57" t="inlineStr">
        <is>
          <t>A 28717-2026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46198</v>
      </c>
      <c r="E57" s="1" t="n">
        <v>46272</v>
      </c>
      <c r="F57" t="inlineStr">
        <is>
          <t>VÄSTRA GÖTALANDS LÄN</t>
        </is>
      </c>
      <c r="G57" t="inlineStr">
        <is>
          <t>SKÖVDE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HYPERLINK("https://klasma.github.io/Logging_1496/artfynd/A 28717-2026 artfynd.xlsx", "A 28717-2026")</f>
        <v/>
      </c>
      <c r="X57">
        <f>HYPERLINK("https://klasma.github.io/Logging_1496/kartor/A 28717-2026 karta.png", "A 28717-2026")</f>
        <v/>
      </c>
      <c r="Y57">
        <f>HYPERLINK("https://klasma.github.io/Logging_1496/kartor_geotiff/A 28717-2026 georefererad karta.tif", "A 28717-2026")</f>
        <v/>
      </c>
      <c r="AA57">
        <f>HYPERLINK("https://klasma.github.io/Logging_1496/klagomål/A 28717-2026 FSC-klagomål.docx", "A 28717-2026")</f>
        <v/>
      </c>
      <c r="AB57">
        <f>HYPERLINK("https://klasma.github.io/Logging_1496/klagomålsmail/A 28717-2026 FSC-klagomål mail.docx", "A 28717-2026")</f>
        <v/>
      </c>
      <c r="AC57">
        <f>HYPERLINK("https://klasma.github.io/Logging_1496/tillsyn/A 28717-2026 tillsynsbegäran.docx", "A 28717-2026")</f>
        <v/>
      </c>
      <c r="AD57">
        <f>HYPERLINK("https://klasma.github.io/Logging_1496/tillsynsmail/A 28717-2026 tillsynsbegäran mail.docx", "A 28717-2026")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46272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46272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46272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24814-2026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46173</v>
      </c>
      <c r="E61" s="1" t="n">
        <v>46272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HYPERLINK("https://klasma.github.io/Logging_1496/artfynd/A 24814-2026 artfynd.xlsx", "A 24814-2026")</f>
        <v/>
      </c>
      <c r="X61">
        <f>HYPERLINK("https://klasma.github.io/Logging_1496/kartor/A 24814-2026 karta.png", "A 24814-2026")</f>
        <v/>
      </c>
      <c r="Y61">
        <f>HYPERLINK("https://klasma.github.io/Logging_1496/kartor_geotiff/A 24814-2026 georefererad karta.tif", "A 24814-2026")</f>
        <v/>
      </c>
      <c r="AA61">
        <f>HYPERLINK("https://klasma.github.io/Logging_1496/klagomål/A 24814-2026 FSC-klagomål.docx", "A 24814-2026")</f>
        <v/>
      </c>
      <c r="AB61">
        <f>HYPERLINK("https://klasma.github.io/Logging_1496/klagomålsmail/A 24814-2026 FSC-klagomål mail.docx", "A 24814-2026")</f>
        <v/>
      </c>
      <c r="AC61">
        <f>HYPERLINK("https://klasma.github.io/Logging_1496/tillsyn/A 24814-2026 tillsynsbegäran.docx", "A 24814-2026")</f>
        <v/>
      </c>
      <c r="AD61">
        <f>HYPERLINK("https://klasma.github.io/Logging_1496/tillsynsmail/A 24814-2026 tillsynsbegäran mail.docx", "A 24814-2026")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46272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46272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46272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46272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46272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46272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46272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46272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46272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46272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46272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46272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46272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46272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46272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46272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46272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46272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46272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46272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46272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46272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46272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46272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46272</v>
      </c>
      <c r="F86" t="inlineStr">
        <is>
          <t>VÄSTRA GÖTALANDS LÄN</t>
        </is>
      </c>
      <c r="G86" t="inlineStr">
        <is>
          <t>SKÖVDE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46272</v>
      </c>
      <c r="F87" t="inlineStr">
        <is>
          <t>VÄSTRA GÖTALANDS LÄN</t>
        </is>
      </c>
      <c r="G87" t="inlineStr">
        <is>
          <t>SKÖVDE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45197</v>
      </c>
      <c r="E88" s="1" t="n">
        <v>46272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46272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44959</v>
      </c>
      <c r="E90" s="1" t="n">
        <v>46272</v>
      </c>
      <c r="F90" t="inlineStr">
        <is>
          <t>VÄSTRA GÖTALANDS LÄN</t>
        </is>
      </c>
      <c r="G90" t="inlineStr">
        <is>
          <t>SKÖVDE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46272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46272</v>
      </c>
      <c r="F92" t="inlineStr">
        <is>
          <t>VÄSTRA GÖTALANDS LÄN</t>
        </is>
      </c>
      <c r="G92" t="inlineStr">
        <is>
          <t>SKÖVDE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46272</v>
      </c>
      <c r="F93" t="inlineStr">
        <is>
          <t>VÄSTRA GÖTALANDS LÄN</t>
        </is>
      </c>
      <c r="G93" t="inlineStr">
        <is>
          <t>SKÖVDE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46272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45230</v>
      </c>
      <c r="E95" s="1" t="n">
        <v>46272</v>
      </c>
      <c r="F95" t="inlineStr">
        <is>
          <t>VÄSTRA GÖTALANDS LÄN</t>
        </is>
      </c>
      <c r="G95" t="inlineStr">
        <is>
          <t>SKÖVDE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45796</v>
      </c>
      <c r="E96" s="1" t="n">
        <v>46272</v>
      </c>
      <c r="F96" t="inlineStr">
        <is>
          <t>VÄSTRA GÖTALANDS LÄN</t>
        </is>
      </c>
      <c r="G96" t="inlineStr">
        <is>
          <t>SKÖVDE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17326-2025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45756</v>
      </c>
      <c r="E97" s="1" t="n">
        <v>46272</v>
      </c>
      <c r="F97" t="inlineStr">
        <is>
          <t>VÄSTRA GÖTALANDS LÄN</t>
        </is>
      </c>
      <c r="G97" t="inlineStr">
        <is>
          <t>SKÖVDE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24962-2025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46272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Kommuner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46272</v>
      </c>
      <c r="F99" t="inlineStr">
        <is>
          <t>VÄSTRA GÖTALANDS LÄN</t>
        </is>
      </c>
      <c r="G99" t="inlineStr">
        <is>
          <t>SKÖVDE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46272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44601</v>
      </c>
      <c r="E101" s="1" t="n">
        <v>46272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25642-2025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45803</v>
      </c>
      <c r="E102" s="1" t="n">
        <v>46272</v>
      </c>
      <c r="F102" t="inlineStr">
        <is>
          <t>VÄSTRA GÖTALANDS LÄN</t>
        </is>
      </c>
      <c r="G102" t="inlineStr">
        <is>
          <t>SKÖVDE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46272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46272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25639-2025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45800</v>
      </c>
      <c r="E105" s="1" t="n">
        <v>46272</v>
      </c>
      <c r="F105" t="inlineStr">
        <is>
          <t>VÄSTRA GÖTALANDS LÄN</t>
        </is>
      </c>
      <c r="G105" t="inlineStr">
        <is>
          <t>SKÖVDE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46017</v>
      </c>
      <c r="E106" s="1" t="n">
        <v>46272</v>
      </c>
      <c r="F106" t="inlineStr">
        <is>
          <t>VÄSTRA GÖTALANDS LÄN</t>
        </is>
      </c>
      <c r="G106" t="inlineStr">
        <is>
          <t>SKÖVDE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46272</v>
      </c>
      <c r="F107" t="inlineStr">
        <is>
          <t>VÄSTRA GÖTALANDS LÄN</t>
        </is>
      </c>
      <c r="G107" t="inlineStr">
        <is>
          <t>SKÖVDE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46272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46272</v>
      </c>
      <c r="F109" t="inlineStr">
        <is>
          <t>VÄSTRA GÖTALANDS LÄN</t>
        </is>
      </c>
      <c r="G109" t="inlineStr">
        <is>
          <t>SKÖVDE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46272</v>
      </c>
      <c r="F110" t="inlineStr">
        <is>
          <t>VÄSTRA GÖTALANDS LÄN</t>
        </is>
      </c>
      <c r="G110" t="inlineStr">
        <is>
          <t>SKÖVDE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46272</v>
      </c>
      <c r="F111" t="inlineStr">
        <is>
          <t>VÄSTRA GÖTALANDS LÄN</t>
        </is>
      </c>
      <c r="G111" t="inlineStr">
        <is>
          <t>SKÖVDE</t>
        </is>
      </c>
      <c r="I111" t="n">
        <v>12.3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45853</v>
      </c>
      <c r="E112" s="1" t="n">
        <v>46272</v>
      </c>
      <c r="F112" t="inlineStr">
        <is>
          <t>VÄSTRA GÖTALANDS LÄN</t>
        </is>
      </c>
      <c r="G112" t="inlineStr">
        <is>
          <t>SKÖVDE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46272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46272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46272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46272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46272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46272</v>
      </c>
      <c r="F118" t="inlineStr">
        <is>
          <t>VÄSTRA GÖTALANDS LÄN</t>
        </is>
      </c>
      <c r="G118" t="inlineStr">
        <is>
          <t>SKÖVDE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45439</v>
      </c>
      <c r="E119" s="1" t="n">
        <v>46272</v>
      </c>
      <c r="F119" t="inlineStr">
        <is>
          <t>VÄSTRA GÖTALANDS LÄN</t>
        </is>
      </c>
      <c r="G119" t="inlineStr">
        <is>
          <t>SKÖVDE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46272</v>
      </c>
      <c r="F120" t="inlineStr">
        <is>
          <t>VÄSTRA GÖTALANDS LÄN</t>
        </is>
      </c>
      <c r="G120" t="inlineStr">
        <is>
          <t>SKÖVDE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46272</v>
      </c>
      <c r="F121" t="inlineStr">
        <is>
          <t>VÄSTRA GÖTALANDS LÄN</t>
        </is>
      </c>
      <c r="G121" t="inlineStr">
        <is>
          <t>SKÖVDE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46272</v>
      </c>
      <c r="F122" t="inlineStr">
        <is>
          <t>VÄSTRA GÖTALANDS LÄN</t>
        </is>
      </c>
      <c r="G122" t="inlineStr">
        <is>
          <t>SKÖVDE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67134-2021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46272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46272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46272</v>
      </c>
      <c r="F125" t="inlineStr">
        <is>
          <t>VÄSTRA GÖTALANDS LÄN</t>
        </is>
      </c>
      <c r="G125" t="inlineStr">
        <is>
          <t>SKÖVDE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45385</v>
      </c>
      <c r="E126" s="1" t="n">
        <v>46272</v>
      </c>
      <c r="F126" t="inlineStr">
        <is>
          <t>VÄSTRA GÖTALANDS LÄN</t>
        </is>
      </c>
      <c r="G126" t="inlineStr">
        <is>
          <t>SKÖVDE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46272</v>
      </c>
      <c r="F127" t="inlineStr">
        <is>
          <t>VÄSTRA GÖTALANDS LÄN</t>
        </is>
      </c>
      <c r="G127" t="inlineStr">
        <is>
          <t>SKÖVDE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46272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33053-2025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46272</v>
      </c>
      <c r="F129" t="inlineStr">
        <is>
          <t>VÄSTRA GÖTALANDS LÄN</t>
        </is>
      </c>
      <c r="G129" t="inlineStr">
        <is>
          <t>SKÖVDE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45842</v>
      </c>
      <c r="E130" s="1" t="n">
        <v>46272</v>
      </c>
      <c r="F130" t="inlineStr">
        <is>
          <t>VÄSTRA GÖTALANDS LÄN</t>
        </is>
      </c>
      <c r="G130" t="inlineStr">
        <is>
          <t>SKÖVDE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46272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45846</v>
      </c>
      <c r="E132" s="1" t="n">
        <v>46272</v>
      </c>
      <c r="F132" t="inlineStr">
        <is>
          <t>VÄSTRA GÖTALANDS LÄN</t>
        </is>
      </c>
      <c r="G132" t="inlineStr">
        <is>
          <t>SKÖVDE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46272</v>
      </c>
      <c r="F133" t="inlineStr">
        <is>
          <t>VÄSTRA GÖTALANDS LÄN</t>
        </is>
      </c>
      <c r="G133" t="inlineStr">
        <is>
          <t>SKÖVDE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45846</v>
      </c>
      <c r="E134" s="1" t="n">
        <v>46272</v>
      </c>
      <c r="F134" t="inlineStr">
        <is>
          <t>VÄSTRA GÖTALANDS LÄN</t>
        </is>
      </c>
      <c r="G134" t="inlineStr">
        <is>
          <t>SKÖVDE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46272</v>
      </c>
      <c r="F135" t="inlineStr">
        <is>
          <t>VÄSTRA GÖTALANDS LÄN</t>
        </is>
      </c>
      <c r="G135" t="inlineStr">
        <is>
          <t>SKÖVDE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46272</v>
      </c>
      <c r="F136" t="inlineStr">
        <is>
          <t>VÄSTRA GÖTALANDS LÄN</t>
        </is>
      </c>
      <c r="G136" t="inlineStr">
        <is>
          <t>SKÖVDE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44862</v>
      </c>
      <c r="E137" s="1" t="n">
        <v>46272</v>
      </c>
      <c r="F137" t="inlineStr">
        <is>
          <t>VÄSTRA GÖTALANDS LÄN</t>
        </is>
      </c>
      <c r="G137" t="inlineStr">
        <is>
          <t>SKÖVDE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46272</v>
      </c>
      <c r="F138" t="inlineStr">
        <is>
          <t>VÄSTRA GÖTALANDS LÄN</t>
        </is>
      </c>
      <c r="G138" t="inlineStr">
        <is>
          <t>SKÖVDE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46272</v>
      </c>
      <c r="F139" t="inlineStr">
        <is>
          <t>VÄSTRA GÖTALANDS LÄN</t>
        </is>
      </c>
      <c r="G139" t="inlineStr">
        <is>
          <t>SKÖVDE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46272</v>
      </c>
      <c r="F140" t="inlineStr">
        <is>
          <t>VÄSTRA GÖTALANDS LÄN</t>
        </is>
      </c>
      <c r="G140" t="inlineStr">
        <is>
          <t>SKÖVDE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46272</v>
      </c>
      <c r="F141" t="inlineStr">
        <is>
          <t>VÄSTRA GÖTALANDS LÄN</t>
        </is>
      </c>
      <c r="G141" t="inlineStr">
        <is>
          <t>SKÖVDE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60588-2023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45259</v>
      </c>
      <c r="E142" s="1" t="n">
        <v>46272</v>
      </c>
      <c r="F142" t="inlineStr">
        <is>
          <t>VÄSTRA GÖTALANDS LÄN</t>
        </is>
      </c>
      <c r="G142" t="inlineStr">
        <is>
          <t>SKÖVDE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46272</v>
      </c>
      <c r="F143" t="inlineStr">
        <is>
          <t>VÄSTRA GÖTALANDS LÄN</t>
        </is>
      </c>
      <c r="G143" t="inlineStr">
        <is>
          <t>SKÖVDE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46272</v>
      </c>
      <c r="F144" t="inlineStr">
        <is>
          <t>VÄSTRA GÖTALANDS LÄN</t>
        </is>
      </c>
      <c r="G144" t="inlineStr">
        <is>
          <t>SKÖVDE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46272</v>
      </c>
      <c r="F145" t="inlineStr">
        <is>
          <t>VÄSTRA GÖTALANDS LÄN</t>
        </is>
      </c>
      <c r="G145" t="inlineStr">
        <is>
          <t>SKÖVDE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46272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45267</v>
      </c>
      <c r="E147" s="1" t="n">
        <v>46272</v>
      </c>
      <c r="F147" t="inlineStr">
        <is>
          <t>VÄSTRA GÖTALANDS LÄN</t>
        </is>
      </c>
      <c r="G147" t="inlineStr">
        <is>
          <t>SKÖVDE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45670</v>
      </c>
      <c r="E148" s="1" t="n">
        <v>46272</v>
      </c>
      <c r="F148" t="inlineStr">
        <is>
          <t>VÄSTRA GÖTALANDS LÄN</t>
        </is>
      </c>
      <c r="G148" t="inlineStr">
        <is>
          <t>SKÖVDE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46272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46051</v>
      </c>
      <c r="E150" s="1" t="n">
        <v>46272</v>
      </c>
      <c r="F150" t="inlineStr">
        <is>
          <t>VÄSTRA GÖTALANDS LÄN</t>
        </is>
      </c>
      <c r="G150" t="inlineStr">
        <is>
          <t>SKÖVDE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6092-2026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46052</v>
      </c>
      <c r="E151" s="1" t="n">
        <v>46272</v>
      </c>
      <c r="F151" t="inlineStr">
        <is>
          <t>VÄSTRA GÖTALANDS LÄN</t>
        </is>
      </c>
      <c r="G151" t="inlineStr">
        <is>
          <t>SKÖVDE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45301</v>
      </c>
      <c r="E152" s="1" t="n">
        <v>46272</v>
      </c>
      <c r="F152" t="inlineStr">
        <is>
          <t>VÄSTRA GÖTALANDS LÄN</t>
        </is>
      </c>
      <c r="G152" t="inlineStr">
        <is>
          <t>SKÖVDE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46272</v>
      </c>
      <c r="F153" t="inlineStr">
        <is>
          <t>VÄSTRA GÖTALANDS LÄN</t>
        </is>
      </c>
      <c r="G153" t="inlineStr">
        <is>
          <t>SKÖVDE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45992</v>
      </c>
      <c r="E154" s="1" t="n">
        <v>46272</v>
      </c>
      <c r="F154" t="inlineStr">
        <is>
          <t>VÄSTRA GÖTALANDS LÄN</t>
        </is>
      </c>
      <c r="G154" t="inlineStr">
        <is>
          <t>SKÖVDE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46272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Övriga statliga verk och myndigheter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46272</v>
      </c>
      <c r="F156" t="inlineStr">
        <is>
          <t>VÄSTRA GÖTALANDS LÄN</t>
        </is>
      </c>
      <c r="G156" t="inlineStr">
        <is>
          <t>SKÖVDE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46272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Övriga statliga verk och myndigheter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46272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Övriga statliga verk och myndigheter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46009</v>
      </c>
      <c r="E159" s="1" t="n">
        <v>46272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Övriga statliga verk och myndigheter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46272</v>
      </c>
      <c r="F160" t="inlineStr">
        <is>
          <t>VÄSTRA GÖTALANDS LÄN</t>
        </is>
      </c>
      <c r="G160" t="inlineStr">
        <is>
          <t>SKÖVDE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46272</v>
      </c>
      <c r="F161" t="inlineStr">
        <is>
          <t>VÄSTRA GÖTALANDS LÄN</t>
        </is>
      </c>
      <c r="G161" t="inlineStr">
        <is>
          <t>SKÖVDE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44586</v>
      </c>
      <c r="E162" s="1" t="n">
        <v>46272</v>
      </c>
      <c r="F162" t="inlineStr">
        <is>
          <t>VÄSTRA GÖTALANDS LÄN</t>
        </is>
      </c>
      <c r="G162" t="inlineStr">
        <is>
          <t>SKÖVDE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35280-2024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45530</v>
      </c>
      <c r="E163" s="1" t="n">
        <v>46272</v>
      </c>
      <c r="F163" t="inlineStr">
        <is>
          <t>VÄSTRA GÖTALANDS LÄN</t>
        </is>
      </c>
      <c r="G163" t="inlineStr">
        <is>
          <t>SKÖVDE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46272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46272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45401</v>
      </c>
      <c r="E166" s="1" t="n">
        <v>46272</v>
      </c>
      <c r="F166" t="inlineStr">
        <is>
          <t>VÄSTRA GÖTALANDS LÄN</t>
        </is>
      </c>
      <c r="G166" t="inlineStr">
        <is>
          <t>SKÖVDE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44963</v>
      </c>
      <c r="E167" s="1" t="n">
        <v>46272</v>
      </c>
      <c r="F167" t="inlineStr">
        <is>
          <t>VÄSTRA GÖTALANDS LÄN</t>
        </is>
      </c>
      <c r="G167" t="inlineStr">
        <is>
          <t>SKÖVDE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44938</v>
      </c>
      <c r="E168" s="1" t="n">
        <v>46272</v>
      </c>
      <c r="F168" t="inlineStr">
        <is>
          <t>VÄSTRA GÖTALANDS LÄN</t>
        </is>
      </c>
      <c r="G168" t="inlineStr">
        <is>
          <t>SKÖVDE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45138</v>
      </c>
      <c r="E169" s="1" t="n">
        <v>46272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45320</v>
      </c>
      <c r="E170" s="1" t="n">
        <v>46272</v>
      </c>
      <c r="F170" t="inlineStr">
        <is>
          <t>VÄSTRA GÖTALANDS LÄN</t>
        </is>
      </c>
      <c r="G170" t="inlineStr">
        <is>
          <t>SKÖVDE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46272</v>
      </c>
      <c r="F171" t="inlineStr">
        <is>
          <t>VÄSTRA GÖTALANDS LÄN</t>
        </is>
      </c>
      <c r="G171" t="inlineStr">
        <is>
          <t>SKÖVDE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46272</v>
      </c>
      <c r="F172" t="inlineStr">
        <is>
          <t>VÄSTRA GÖTALANDS LÄN</t>
        </is>
      </c>
      <c r="G172" t="inlineStr">
        <is>
          <t>SKÖVDE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46272</v>
      </c>
      <c r="F173" t="inlineStr">
        <is>
          <t>VÄSTRA GÖTALANDS LÄN</t>
        </is>
      </c>
      <c r="G173" t="inlineStr">
        <is>
          <t>SKÖVDE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60117-2021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44495</v>
      </c>
      <c r="E174" s="1" t="n">
        <v>46272</v>
      </c>
      <c r="F174" t="inlineStr">
        <is>
          <t>VÄSTRA GÖTALANDS LÄN</t>
        </is>
      </c>
      <c r="G174" t="inlineStr">
        <is>
          <t>SKÖVDE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46272</v>
      </c>
      <c r="F175" t="inlineStr">
        <is>
          <t>VÄSTRA GÖTALANDS LÄN</t>
        </is>
      </c>
      <c r="G175" t="inlineStr">
        <is>
          <t>SKÖVDE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46272</v>
      </c>
      <c r="F176" t="inlineStr">
        <is>
          <t>VÄSTRA GÖTALANDS LÄN</t>
        </is>
      </c>
      <c r="G176" t="inlineStr">
        <is>
          <t>SKÖVDE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44600</v>
      </c>
      <c r="E177" s="1" t="n">
        <v>46272</v>
      </c>
      <c r="F177" t="inlineStr">
        <is>
          <t>VÄSTRA GÖTALANDS LÄN</t>
        </is>
      </c>
      <c r="G177" t="inlineStr">
        <is>
          <t>SKÖVDE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46272</v>
      </c>
      <c r="F178" t="inlineStr">
        <is>
          <t>VÄSTRA GÖTALANDS LÄN</t>
        </is>
      </c>
      <c r="G178" t="inlineStr">
        <is>
          <t>SKÖVDE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44739</v>
      </c>
      <c r="E179" s="1" t="n">
        <v>46272</v>
      </c>
      <c r="F179" t="inlineStr">
        <is>
          <t>VÄSTRA GÖTALANDS LÄN</t>
        </is>
      </c>
      <c r="G179" t="inlineStr">
        <is>
          <t>SKÖVDE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46272</v>
      </c>
      <c r="F180" t="inlineStr">
        <is>
          <t>VÄSTRA GÖTALANDS LÄN</t>
        </is>
      </c>
      <c r="G180" t="inlineStr">
        <is>
          <t>SKÖVDE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46272</v>
      </c>
      <c r="F181" t="inlineStr">
        <is>
          <t>VÄSTRA GÖTALANDS LÄN</t>
        </is>
      </c>
      <c r="G181" t="inlineStr">
        <is>
          <t>SKÖVDE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46272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46272</v>
      </c>
      <c r="F183" t="inlineStr">
        <is>
          <t>VÄSTRA GÖTALANDS LÄN</t>
        </is>
      </c>
      <c r="G183" t="inlineStr">
        <is>
          <t>SKÖVDE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46272</v>
      </c>
      <c r="F184" t="inlineStr">
        <is>
          <t>VÄSTRA GÖTALANDS LÄN</t>
        </is>
      </c>
      <c r="G184" t="inlineStr">
        <is>
          <t>SKÖVDE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45306</v>
      </c>
      <c r="E185" s="1" t="n">
        <v>46272</v>
      </c>
      <c r="F185" t="inlineStr">
        <is>
          <t>VÄSTRA GÖTALANDS LÄN</t>
        </is>
      </c>
      <c r="G185" t="inlineStr">
        <is>
          <t>SKÖVDE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35610-2024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46272</v>
      </c>
      <c r="F186" t="inlineStr">
        <is>
          <t>VÄSTRA GÖTALANDS LÄN</t>
        </is>
      </c>
      <c r="G186" t="inlineStr">
        <is>
          <t>SKÖVDE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14281-2026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46272</v>
      </c>
      <c r="F187" t="inlineStr">
        <is>
          <t>VÄSTRA GÖTALANDS LÄN</t>
        </is>
      </c>
      <c r="G187" t="inlineStr">
        <is>
          <t>SKÖVDE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45324</v>
      </c>
      <c r="E188" s="1" t="n">
        <v>46272</v>
      </c>
      <c r="F188" t="inlineStr">
        <is>
          <t>VÄSTRA GÖTALANDS LÄN</t>
        </is>
      </c>
      <c r="G188" t="inlineStr">
        <is>
          <t>SKÖVDE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46272</v>
      </c>
      <c r="F189" t="inlineStr">
        <is>
          <t>VÄSTRA GÖTALANDS LÄN</t>
        </is>
      </c>
      <c r="G189" t="inlineStr">
        <is>
          <t>SKÖVDE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46272</v>
      </c>
      <c r="F190" t="inlineStr">
        <is>
          <t>VÄSTRA GÖTALANDS LÄN</t>
        </is>
      </c>
      <c r="G190" t="inlineStr">
        <is>
          <t>SKÖVDE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45694</v>
      </c>
      <c r="E191" s="1" t="n">
        <v>46272</v>
      </c>
      <c r="F191" t="inlineStr">
        <is>
          <t>VÄSTRA GÖTALANDS LÄN</t>
        </is>
      </c>
      <c r="G191" t="inlineStr">
        <is>
          <t>SKÖVDE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45315</v>
      </c>
      <c r="E192" s="1" t="n">
        <v>46272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45013</v>
      </c>
      <c r="E193" s="1" t="n">
        <v>46272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45586</v>
      </c>
      <c r="E194" s="1" t="n">
        <v>46272</v>
      </c>
      <c r="F194" t="inlineStr">
        <is>
          <t>VÄSTRA GÖTALANDS LÄN</t>
        </is>
      </c>
      <c r="G194" t="inlineStr">
        <is>
          <t>SKÖVDE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46272</v>
      </c>
      <c r="F195" t="inlineStr">
        <is>
          <t>VÄSTRA GÖTALANDS LÄN</t>
        </is>
      </c>
      <c r="G195" t="inlineStr">
        <is>
          <t>SKÖVDE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13669-2023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45006</v>
      </c>
      <c r="E196" s="1" t="n">
        <v>46272</v>
      </c>
      <c r="F196" t="inlineStr">
        <is>
          <t>VÄSTRA GÖTALANDS LÄN</t>
        </is>
      </c>
      <c r="G196" t="inlineStr">
        <is>
          <t>SKÖVDE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46272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45685</v>
      </c>
      <c r="E198" s="1" t="n">
        <v>46272</v>
      </c>
      <c r="F198" t="inlineStr">
        <is>
          <t>VÄSTRA GÖTALANDS LÄN</t>
        </is>
      </c>
      <c r="G198" t="inlineStr">
        <is>
          <t>SKÖVDE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45847</v>
      </c>
      <c r="E199" s="1" t="n">
        <v>46272</v>
      </c>
      <c r="F199" t="inlineStr">
        <is>
          <t>VÄSTRA GÖTALANDS LÄN</t>
        </is>
      </c>
      <c r="G199" t="inlineStr">
        <is>
          <t>SKÖVDE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44796</v>
      </c>
      <c r="E200" s="1" t="n">
        <v>46272</v>
      </c>
      <c r="F200" t="inlineStr">
        <is>
          <t>VÄSTRA GÖTALANDS LÄN</t>
        </is>
      </c>
      <c r="G200" t="inlineStr">
        <is>
          <t>SKÖVDE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46272</v>
      </c>
      <c r="F201" t="inlineStr">
        <is>
          <t>VÄSTRA GÖTALANDS LÄN</t>
        </is>
      </c>
      <c r="G201" t="inlineStr">
        <is>
          <t>SKÖVDE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46272</v>
      </c>
      <c r="F202" t="inlineStr">
        <is>
          <t>VÄSTRA GÖTALANDS LÄN</t>
        </is>
      </c>
      <c r="G202" t="inlineStr">
        <is>
          <t>SKÖVDE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46272</v>
      </c>
      <c r="F203" t="inlineStr">
        <is>
          <t>VÄSTRA GÖTALANDS LÄN</t>
        </is>
      </c>
      <c r="G203" t="inlineStr">
        <is>
          <t>SKÖVDE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44599</v>
      </c>
      <c r="E204" s="1" t="n">
        <v>46272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Kyrkan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46272</v>
      </c>
      <c r="F205" t="inlineStr">
        <is>
          <t>VÄSTRA GÖTALANDS LÄN</t>
        </is>
      </c>
      <c r="G205" t="inlineStr">
        <is>
          <t>SKÖVDE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44750</v>
      </c>
      <c r="E206" s="1" t="n">
        <v>46272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Kommuner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46272</v>
      </c>
      <c r="F207" t="inlineStr">
        <is>
          <t>VÄSTRA GÖTALANDS LÄN</t>
        </is>
      </c>
      <c r="G207" t="inlineStr">
        <is>
          <t>SKÖVDE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51886-2021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44462</v>
      </c>
      <c r="E208" s="1" t="n">
        <v>46272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45105</v>
      </c>
      <c r="E209" s="1" t="n">
        <v>46272</v>
      </c>
      <c r="F209" t="inlineStr">
        <is>
          <t>VÄSTRA GÖTALANDS LÄN</t>
        </is>
      </c>
      <c r="G209" t="inlineStr">
        <is>
          <t>SKÖVDE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46272</v>
      </c>
      <c r="F210" t="inlineStr">
        <is>
          <t>VÄSTRA GÖTALANDS LÄN</t>
        </is>
      </c>
      <c r="G210" t="inlineStr">
        <is>
          <t>SKÖVDE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60587-2023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45259</v>
      </c>
      <c r="E211" s="1" t="n">
        <v>46272</v>
      </c>
      <c r="F211" t="inlineStr">
        <is>
          <t>VÄSTRA GÖTALANDS LÄN</t>
        </is>
      </c>
      <c r="G211" t="inlineStr">
        <is>
          <t>SKÖVDE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46149</v>
      </c>
      <c r="E212" s="1" t="n">
        <v>46272</v>
      </c>
      <c r="F212" t="inlineStr">
        <is>
          <t>VÄSTRA GÖTALANDS LÄN</t>
        </is>
      </c>
      <c r="G212" t="inlineStr">
        <is>
          <t>SKÖVDE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44938</v>
      </c>
      <c r="E213" s="1" t="n">
        <v>46272</v>
      </c>
      <c r="F213" t="inlineStr">
        <is>
          <t>VÄSTRA GÖTALANDS LÄN</t>
        </is>
      </c>
      <c r="G213" t="inlineStr">
        <is>
          <t>SKÖVDE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46272</v>
      </c>
      <c r="F214" t="inlineStr">
        <is>
          <t>VÄSTRA GÖTALANDS LÄN</t>
        </is>
      </c>
      <c r="G214" t="inlineStr">
        <is>
          <t>SKÖVDE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45299</v>
      </c>
      <c r="E215" s="1" t="n">
        <v>46272</v>
      </c>
      <c r="F215" t="inlineStr">
        <is>
          <t>VÄSTRA GÖTALANDS LÄN</t>
        </is>
      </c>
      <c r="G215" t="inlineStr">
        <is>
          <t>SKÖVDE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46272</v>
      </c>
      <c r="F216" t="inlineStr">
        <is>
          <t>VÄSTRA GÖTALANDS LÄN</t>
        </is>
      </c>
      <c r="G216" t="inlineStr">
        <is>
          <t>SKÖVDE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45267</v>
      </c>
      <c r="E217" s="1" t="n">
        <v>46272</v>
      </c>
      <c r="F217" t="inlineStr">
        <is>
          <t>VÄSTRA GÖTALANDS LÄN</t>
        </is>
      </c>
      <c r="G217" t="inlineStr">
        <is>
          <t>SKÖVDE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45169</v>
      </c>
      <c r="E218" s="1" t="n">
        <v>46272</v>
      </c>
      <c r="F218" t="inlineStr">
        <is>
          <t>VÄSTRA GÖTALANDS LÄN</t>
        </is>
      </c>
      <c r="G218" t="inlineStr">
        <is>
          <t>SKÖVDE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46272</v>
      </c>
      <c r="F219" t="inlineStr">
        <is>
          <t>VÄSTRA GÖTALANDS LÄN</t>
        </is>
      </c>
      <c r="G219" t="inlineStr">
        <is>
          <t>SKÖVDE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46272</v>
      </c>
      <c r="F220" t="inlineStr">
        <is>
          <t>VÄSTRA GÖTALANDS LÄN</t>
        </is>
      </c>
      <c r="G220" t="inlineStr">
        <is>
          <t>SKÖVDE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2901-2026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46038</v>
      </c>
      <c r="E221" s="1" t="n">
        <v>46272</v>
      </c>
      <c r="F221" t="inlineStr">
        <is>
          <t>VÄSTRA GÖTALANDS LÄN</t>
        </is>
      </c>
      <c r="G221" t="inlineStr">
        <is>
          <t>SKÖVDE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46272</v>
      </c>
      <c r="F222" t="inlineStr">
        <is>
          <t>VÄSTRA GÖTALANDS LÄN</t>
        </is>
      </c>
      <c r="G222" t="inlineStr">
        <is>
          <t>SKÖVDE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46272</v>
      </c>
      <c r="F223" t="inlineStr">
        <is>
          <t>VÄSTRA GÖTALANDS LÄN</t>
        </is>
      </c>
      <c r="G223" t="inlineStr">
        <is>
          <t>SKÖVDE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45687</v>
      </c>
      <c r="E224" s="1" t="n">
        <v>46272</v>
      </c>
      <c r="F224" t="inlineStr">
        <is>
          <t>VÄSTRA GÖTALANDS LÄN</t>
        </is>
      </c>
      <c r="G224" t="inlineStr">
        <is>
          <t>SKÖVDE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45138</v>
      </c>
      <c r="E225" s="1" t="n">
        <v>46272</v>
      </c>
      <c r="F225" t="inlineStr">
        <is>
          <t>VÄSTRA GÖTALANDS LÄN</t>
        </is>
      </c>
      <c r="G225" t="inlineStr">
        <is>
          <t>SKÖVDE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46272</v>
      </c>
      <c r="F226" t="inlineStr">
        <is>
          <t>VÄSTRA GÖTALANDS LÄN</t>
        </is>
      </c>
      <c r="G226" t="inlineStr">
        <is>
          <t>SKÖVDE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45134</v>
      </c>
      <c r="E227" s="1" t="n">
        <v>46272</v>
      </c>
      <c r="F227" t="inlineStr">
        <is>
          <t>VÄSTRA GÖTALANDS LÄN</t>
        </is>
      </c>
      <c r="G227" t="inlineStr">
        <is>
          <t>SKÖVDE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45590</v>
      </c>
      <c r="E228" s="1" t="n">
        <v>46272</v>
      </c>
      <c r="F228" t="inlineStr">
        <is>
          <t>VÄSTRA GÖTALANDS LÄN</t>
        </is>
      </c>
      <c r="G228" t="inlineStr">
        <is>
          <t>SKÖVDE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17798-2024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45418</v>
      </c>
      <c r="E229" s="1" t="n">
        <v>46272</v>
      </c>
      <c r="F229" t="inlineStr">
        <is>
          <t>VÄSTRA GÖTALANDS LÄN</t>
        </is>
      </c>
      <c r="G229" t="inlineStr">
        <is>
          <t>SKÖVDE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46272</v>
      </c>
      <c r="F230" t="inlineStr">
        <is>
          <t>VÄSTRA GÖTALANDS LÄN</t>
        </is>
      </c>
      <c r="G230" t="inlineStr">
        <is>
          <t>SKÖVDE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46182</v>
      </c>
      <c r="E231" s="1" t="n">
        <v>46272</v>
      </c>
      <c r="F231" t="inlineStr">
        <is>
          <t>VÄSTRA GÖTALANDS LÄN</t>
        </is>
      </c>
      <c r="G231" t="inlineStr">
        <is>
          <t>SKÖVDE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26914-2026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46185</v>
      </c>
      <c r="E232" s="1" t="n">
        <v>46272</v>
      </c>
      <c r="F232" t="inlineStr">
        <is>
          <t>VÄSTRA GÖTALANDS LÄN</t>
        </is>
      </c>
      <c r="G232" t="inlineStr">
        <is>
          <t>SKÖVDE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45301</v>
      </c>
      <c r="E233" s="1" t="n">
        <v>46272</v>
      </c>
      <c r="F233" t="inlineStr">
        <is>
          <t>VÄSTRA GÖTALANDS LÄN</t>
        </is>
      </c>
      <c r="G233" t="inlineStr">
        <is>
          <t>SKÖVDE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46272</v>
      </c>
      <c r="F234" t="inlineStr">
        <is>
          <t>VÄSTRA GÖTALANDS LÄN</t>
        </is>
      </c>
      <c r="G234" t="inlineStr">
        <is>
          <t>SKÖVDE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46272</v>
      </c>
      <c r="F235" t="inlineStr">
        <is>
          <t>VÄSTRA GÖTALANDS LÄN</t>
        </is>
      </c>
      <c r="G235" t="inlineStr">
        <is>
          <t>SKÖVDE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46272</v>
      </c>
      <c r="F236" t="inlineStr">
        <is>
          <t>VÄSTRA GÖTALANDS LÄN</t>
        </is>
      </c>
      <c r="G236" t="inlineStr">
        <is>
          <t>SKÖVDE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45002</v>
      </c>
      <c r="E237" s="1" t="n">
        <v>46272</v>
      </c>
      <c r="F237" t="inlineStr">
        <is>
          <t>VÄSTRA GÖTALANDS LÄN</t>
        </is>
      </c>
      <c r="G237" t="inlineStr">
        <is>
          <t>SKÖVDE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29177-2026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46272</v>
      </c>
      <c r="F238" t="inlineStr">
        <is>
          <t>VÄSTRA GÖTALANDS LÄN</t>
        </is>
      </c>
      <c r="G238" t="inlineStr">
        <is>
          <t>SKÖVDE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46272</v>
      </c>
      <c r="F239" t="inlineStr">
        <is>
          <t>VÄSTRA GÖTALANDS LÄN</t>
        </is>
      </c>
      <c r="G239" t="inlineStr">
        <is>
          <t>SKÖVDE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46272</v>
      </c>
      <c r="F240" t="inlineStr">
        <is>
          <t>VÄSTRA GÖTALANDS LÄN</t>
        </is>
      </c>
      <c r="G240" t="inlineStr">
        <is>
          <t>SKÖVDE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46272</v>
      </c>
      <c r="F241" t="inlineStr">
        <is>
          <t>VÄSTRA GÖTALANDS LÄN</t>
        </is>
      </c>
      <c r="G241" t="inlineStr">
        <is>
          <t>SKÖVDE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44804</v>
      </c>
      <c r="E242" s="1" t="n">
        <v>46272</v>
      </c>
      <c r="F242" t="inlineStr">
        <is>
          <t>VÄSTRA GÖTALANDS LÄN</t>
        </is>
      </c>
      <c r="G242" t="inlineStr">
        <is>
          <t>SKÖVDE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46272</v>
      </c>
      <c r="F243" t="inlineStr">
        <is>
          <t>VÄSTRA GÖTALANDS LÄN</t>
        </is>
      </c>
      <c r="G243" t="inlineStr">
        <is>
          <t>SKÖVDE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46272</v>
      </c>
      <c r="F244" t="inlineStr">
        <is>
          <t>VÄSTRA GÖTALANDS LÄN</t>
        </is>
      </c>
      <c r="G244" t="inlineStr">
        <is>
          <t>SKÖVDE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46272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46272</v>
      </c>
      <c r="F246" t="inlineStr">
        <is>
          <t>VÄSTRA GÖTALANDS LÄN</t>
        </is>
      </c>
      <c r="G246" t="inlineStr">
        <is>
          <t>SKÖVDE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46253</v>
      </c>
      <c r="E247" s="1" t="n">
        <v>46272</v>
      </c>
      <c r="F247" t="inlineStr">
        <is>
          <t>VÄSTRA GÖTALANDS LÄN</t>
        </is>
      </c>
      <c r="G247" t="inlineStr">
        <is>
          <t>SKÖVDE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45737</v>
      </c>
      <c r="E248" s="1" t="n">
        <v>46272</v>
      </c>
      <c r="F248" t="inlineStr">
        <is>
          <t>VÄSTRA GÖTALANDS LÄN</t>
        </is>
      </c>
      <c r="G248" t="inlineStr">
        <is>
          <t>SKÖVDE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46272</v>
      </c>
      <c r="F249" t="inlineStr">
        <is>
          <t>VÄSTRA GÖTALANDS LÄN</t>
        </is>
      </c>
      <c r="G249" t="inlineStr">
        <is>
          <t>SKÖVDE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45775</v>
      </c>
      <c r="E250" s="1" t="n">
        <v>46272</v>
      </c>
      <c r="F250" t="inlineStr">
        <is>
          <t>VÄSTRA GÖTALANDS LÄN</t>
        </is>
      </c>
      <c r="G250" t="inlineStr">
        <is>
          <t>SKÖVDE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46129</v>
      </c>
      <c r="E251" s="1" t="n">
        <v>46272</v>
      </c>
      <c r="F251" t="inlineStr">
        <is>
          <t>VÄSTRA GÖTALANDS LÄN</t>
        </is>
      </c>
      <c r="G251" t="inlineStr">
        <is>
          <t>SKÖVDE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46272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46272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46272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46272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45334</v>
      </c>
      <c r="E256" s="1" t="n">
        <v>46272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46272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46272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46269</v>
      </c>
      <c r="E259" s="1" t="n">
        <v>46272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46272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46272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2026-09-07T02:09:49Z</dcterms:created>
  <dcterms:modified xmlns:dcterms="http://purl.org/dc/terms/" xmlns:xsi="http://www.w3.org/2001/XMLSchema-instance" xsi:type="dcterms:W3CDTF">2026-09-07T02:09:49Z</dcterms:modified>
</cp:coreProperties>
</file>