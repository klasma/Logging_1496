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46266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46266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46266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46266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46266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46266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46266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46266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46266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46266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46266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46266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46266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46266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46266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46266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46266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46266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46266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46266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46266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46266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46266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46266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46266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27109-2024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46266</v>
      </c>
      <c r="F32" t="inlineStr">
        <is>
          <t>VÄSTRA GÖTALANDS LÄN</t>
        </is>
      </c>
      <c r="G32" t="inlineStr">
        <is>
          <t>SKÖVDE</t>
        </is>
      </c>
      <c r="I32" t="n">
        <v>2.7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Backstarr
Jungfrulin</t>
        </is>
      </c>
      <c r="W32">
        <f>HYPERLINK("https://klasma.github.io/Logging_1496/artfynd/A 27109-2024 artfynd.xlsx", "A 27109-2024")</f>
        <v/>
      </c>
      <c r="X32">
        <f>HYPERLINK("https://klasma.github.io/Logging_1496/kartor/A 27109-2024 karta.png", "A 27109-2024")</f>
        <v/>
      </c>
      <c r="Y32">
        <f>HYPERLINK("https://klasma.github.io/Logging_1496/kartor_geotiff/A 27109-2024 georefererad karta.tif", "A 27109-2024")</f>
        <v/>
      </c>
      <c r="AA32">
        <f>HYPERLINK("https://klasma.github.io/Logging_1496/klagomål/A 27109-2024 FSC-klagomål.docx", "A 27109-2024")</f>
        <v/>
      </c>
      <c r="AB32">
        <f>HYPERLINK("https://klasma.github.io/Logging_1496/klagomålsmail/A 27109-2024 FSC-klagomål mail.docx", "A 27109-2024")</f>
        <v/>
      </c>
      <c r="AC32">
        <f>HYPERLINK("https://klasma.github.io/Logging_1496/tillsyn/A 27109-2024 tillsynsbegäran.docx", "A 27109-2024")</f>
        <v/>
      </c>
      <c r="AD32">
        <f>HYPERLINK("https://klasma.github.io/Logging_1496/tillsynsmail/A 27109-2024 tillsynsbegäran mail.docx", "A 27109-2024")</f>
        <v/>
      </c>
    </row>
    <row r="33" ht="15" customHeight="1">
      <c r="A33" t="inlineStr">
        <is>
          <t>A 25093-2025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46266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Ask
Skogsalm</t>
        </is>
      </c>
      <c r="W33">
        <f>HYPERLINK("https://klasma.github.io/Logging_1496/artfynd/A 25093-2025 artfynd.xlsx", "A 25093-2025")</f>
        <v/>
      </c>
      <c r="X33">
        <f>HYPERLINK("https://klasma.github.io/Logging_1496/kartor/A 25093-2025 karta.png", "A 25093-2025")</f>
        <v/>
      </c>
      <c r="Y33">
        <f>HYPERLINK("https://klasma.github.io/Logging_1496/kartor_geotiff/A 25093-2025 georefererad karta.tif", "A 25093-2025")</f>
        <v/>
      </c>
      <c r="AA33">
        <f>HYPERLINK("https://klasma.github.io/Logging_1496/klagomål/A 25093-2025 FSC-klagomål.docx", "A 25093-2025")</f>
        <v/>
      </c>
      <c r="AB33">
        <f>HYPERLINK("https://klasma.github.io/Logging_1496/klagomålsmail/A 25093-2025 FSC-klagomål mail.docx", "A 25093-2025")</f>
        <v/>
      </c>
      <c r="AC33">
        <f>HYPERLINK("https://klasma.github.io/Logging_1496/tillsyn/A 25093-2025 tillsynsbegäran.docx", "A 25093-2025")</f>
        <v/>
      </c>
      <c r="AD33">
        <f>HYPERLINK("https://klasma.github.io/Logging_1496/tillsynsmail/A 25093-2025 tillsynsbegäran mail.docx", "A 25093-2025")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46266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46266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46266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46266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46266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46266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46266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0.8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Mindre hackspett
Åkergroda</t>
        </is>
      </c>
      <c r="W40">
        <f>HYPERLINK("https://klasma.github.io/Logging_1496/artfynd/A 24383-2025 artfynd.xlsx", "A 24383-2025")</f>
        <v/>
      </c>
      <c r="X40">
        <f>HYPERLINK("https://klasma.github.io/Logging_1496/kartor/A 24383-2025 karta.png", "A 24383-2025")</f>
        <v/>
      </c>
      <c r="Y40">
        <f>HYPERLINK("https://klasma.github.io/Logging_1496/kartor_geotiff/A 24383-2025 georefererad karta.tif", "A 24383-2025")</f>
        <v/>
      </c>
      <c r="AA40">
        <f>HYPERLINK("https://klasma.github.io/Logging_1496/klagomål/A 24383-2025 FSC-klagomål.docx", "A 24383-2025")</f>
        <v/>
      </c>
      <c r="AB40">
        <f>HYPERLINK("https://klasma.github.io/Logging_1496/klagomålsmail/A 24383-2025 FSC-klagomål mail.docx", "A 24383-2025")</f>
        <v/>
      </c>
      <c r="AC40">
        <f>HYPERLINK("https://klasma.github.io/Logging_1496/tillsyn/A 24383-2025 tillsynsbegäran.docx", "A 24383-2025")</f>
        <v/>
      </c>
      <c r="AD40">
        <f>HYPERLINK("https://klasma.github.io/Logging_1496/tillsynsmail/A 24383-2025 tillsynsbegäran mail.docx", "A 24383-2025")</f>
        <v/>
      </c>
      <c r="AE40">
        <f>HYPERLINK("https://klasma.github.io/Logging_1496/fåglar/A 24383-2025 prioriterade fågelarter.docx", "A 24383-2025")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46266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46266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46266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46266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3948-2024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46266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3948-2024 artfynd.xlsx", "A 3948-2024")</f>
        <v/>
      </c>
      <c r="X45">
        <f>HYPERLINK("https://klasma.github.io/Logging_1496/kartor/A 3948-2024 karta.png", "A 3948-2024")</f>
        <v/>
      </c>
      <c r="Y45">
        <f>HYPERLINK("https://klasma.github.io/Logging_1496/kartor_geotiff/A 3948-2024 georefererad karta.tif", "A 3948-2024")</f>
        <v/>
      </c>
      <c r="AA45">
        <f>HYPERLINK("https://klasma.github.io/Logging_1496/klagomål/A 3948-2024 FSC-klagomål.docx", "A 3948-2024")</f>
        <v/>
      </c>
      <c r="AB45">
        <f>HYPERLINK("https://klasma.github.io/Logging_1496/klagomålsmail/A 3948-2024 FSC-klagomål mail.docx", "A 3948-2024")</f>
        <v/>
      </c>
      <c r="AC45">
        <f>HYPERLINK("https://klasma.github.io/Logging_1496/tillsyn/A 3948-2024 tillsynsbegäran.docx", "A 3948-2024")</f>
        <v/>
      </c>
      <c r="AD45">
        <f>HYPERLINK("https://klasma.github.io/Logging_1496/tillsynsmail/A 3948-2024 tillsynsbegäran mail.docx", "A 3948-2024")</f>
        <v/>
      </c>
    </row>
    <row r="46" ht="15" customHeight="1">
      <c r="A46" t="inlineStr">
        <is>
          <t>A 10602-2023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46266</v>
      </c>
      <c r="F46" t="inlineStr">
        <is>
          <t>VÄSTRA GÖTALANDS LÄN</t>
        </is>
      </c>
      <c r="G46" t="inlineStr">
        <is>
          <t>SKÖVDE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HYPERLINK("https://klasma.github.io/Logging_1496/artfynd/A 10602-2023 artfynd.xlsx", "A 10602-2023")</f>
        <v/>
      </c>
      <c r="X46">
        <f>HYPERLINK("https://klasma.github.io/Logging_1496/kartor/A 10602-2023 karta.png", "A 10602-2023")</f>
        <v/>
      </c>
      <c r="Y46">
        <f>HYPERLINK("https://klasma.github.io/Logging_1496/kartor_geotiff/A 10602-2023 georefererad karta.tif", "A 10602-2023")</f>
        <v/>
      </c>
      <c r="AA46">
        <f>HYPERLINK("https://klasma.github.io/Logging_1496/klagomål/A 10602-2023 FSC-klagomål.docx", "A 10602-2023")</f>
        <v/>
      </c>
      <c r="AB46">
        <f>HYPERLINK("https://klasma.github.io/Logging_1496/klagomålsmail/A 10602-2023 FSC-klagomål mail.docx", "A 10602-2023")</f>
        <v/>
      </c>
      <c r="AC46">
        <f>HYPERLINK("https://klasma.github.io/Logging_1496/tillsyn/A 10602-2023 tillsynsbegäran.docx", "A 10602-2023")</f>
        <v/>
      </c>
      <c r="AD46">
        <f>HYPERLINK("https://klasma.github.io/Logging_1496/tillsynsmail/A 10602-2023 tillsynsbegäran mail.docx", "A 10602-2023")</f>
        <v/>
      </c>
    </row>
    <row r="47" ht="15" customHeight="1">
      <c r="A47" t="inlineStr">
        <is>
          <t>A 15417-2023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46266</v>
      </c>
      <c r="F47" t="inlineStr">
        <is>
          <t>VÄSTRA GÖTALANDS LÄN</t>
        </is>
      </c>
      <c r="G47" t="inlineStr">
        <is>
          <t>SKÖVDE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Gullpudra</t>
        </is>
      </c>
      <c r="W47">
        <f>HYPERLINK("https://klasma.github.io/Logging_1496/artfynd/A 15417-2023 artfynd.xlsx", "A 15417-2023")</f>
        <v/>
      </c>
      <c r="X47">
        <f>HYPERLINK("https://klasma.github.io/Logging_1496/kartor/A 15417-2023 karta.png", "A 15417-2023")</f>
        <v/>
      </c>
      <c r="Y47">
        <f>HYPERLINK("https://klasma.github.io/Logging_1496/kartor_geotiff/A 15417-2023 georefererad karta.tif", "A 15417-2023")</f>
        <v/>
      </c>
      <c r="AA47">
        <f>HYPERLINK("https://klasma.github.io/Logging_1496/klagomål/A 15417-2023 FSC-klagomål.docx", "A 15417-2023")</f>
        <v/>
      </c>
      <c r="AB47">
        <f>HYPERLINK("https://klasma.github.io/Logging_1496/klagomålsmail/A 15417-2023 FSC-klagomål mail.docx", "A 15417-2023")</f>
        <v/>
      </c>
      <c r="AC47">
        <f>HYPERLINK("https://klasma.github.io/Logging_1496/tillsyn/A 15417-2023 tillsynsbegäran.docx", "A 15417-2023")</f>
        <v/>
      </c>
      <c r="AD47">
        <f>HYPERLINK("https://klasma.github.io/Logging_1496/tillsynsmail/A 15417-2023 tillsynsbegäran mail.docx", "A 15417-2023")</f>
        <v/>
      </c>
    </row>
    <row r="48" ht="15" customHeight="1">
      <c r="A48" t="inlineStr">
        <is>
          <t>A 35919-2023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46266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Svinrot</t>
        </is>
      </c>
      <c r="W48">
        <f>HYPERLINK("https://klasma.github.io/Logging_1496/artfynd/A 35919-2023 artfynd.xlsx", "A 35919-2023")</f>
        <v/>
      </c>
      <c r="X48">
        <f>HYPERLINK("https://klasma.github.io/Logging_1496/kartor/A 35919-2023 karta.png", "A 35919-2023")</f>
        <v/>
      </c>
      <c r="Y48">
        <f>HYPERLINK("https://klasma.github.io/Logging_1496/kartor_geotiff/A 35919-2023 georefererad karta.tif", "A 35919-2023")</f>
        <v/>
      </c>
      <c r="AA48">
        <f>HYPERLINK("https://klasma.github.io/Logging_1496/klagomål/A 35919-2023 FSC-klagomål.docx", "A 35919-2023")</f>
        <v/>
      </c>
      <c r="AB48">
        <f>HYPERLINK("https://klasma.github.io/Logging_1496/klagomålsmail/A 35919-2023 FSC-klagomål mail.docx", "A 35919-2023")</f>
        <v/>
      </c>
      <c r="AC48">
        <f>HYPERLINK("https://klasma.github.io/Logging_1496/tillsyn/A 35919-2023 tillsynsbegäran.docx", "A 35919-2023")</f>
        <v/>
      </c>
      <c r="AD48">
        <f>HYPERLINK("https://klasma.github.io/Logging_1496/tillsynsmail/A 35919-2023 tillsynsbegäran mail.docx", "A 35919-2023")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46266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46266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HYPERLINK("https://klasma.github.io/Logging_1496/artfynd/A 17070-2025 artfynd.xlsx", "A 17070-2025")</f>
        <v/>
      </c>
      <c r="X50">
        <f>HYPERLINK("https://klasma.github.io/Logging_1496/kartor/A 17070-2025 karta.png", "A 17070-2025")</f>
        <v/>
      </c>
      <c r="Y50">
        <f>HYPERLINK("https://klasma.github.io/Logging_1496/kartor_geotiff/A 17070-2025 georefererad karta.tif", "A 17070-2025")</f>
        <v/>
      </c>
      <c r="AA50">
        <f>HYPERLINK("https://klasma.github.io/Logging_1496/klagomål/A 17070-2025 FSC-klagomål.docx", "A 17070-2025")</f>
        <v/>
      </c>
      <c r="AB50">
        <f>HYPERLINK("https://klasma.github.io/Logging_1496/klagomålsmail/A 17070-2025 FSC-klagomål mail.docx", "A 17070-2025")</f>
        <v/>
      </c>
      <c r="AC50">
        <f>HYPERLINK("https://klasma.github.io/Logging_1496/tillsyn/A 17070-2025 tillsynsbegäran.docx", "A 17070-2025")</f>
        <v/>
      </c>
      <c r="AD50">
        <f>HYPERLINK("https://klasma.github.io/Logging_1496/tillsynsmail/A 17070-2025 tillsynsbegäran mail.docx", "A 17070-2025")</f>
        <v/>
      </c>
    </row>
    <row r="51" ht="15" customHeight="1">
      <c r="A51" t="inlineStr">
        <is>
          <t>A 4464-2026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46266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Myskmadra</t>
        </is>
      </c>
      <c r="W51">
        <f>HYPERLINK("https://klasma.github.io/Logging_1496/artfynd/A 4464-2026 artfynd.xlsx", "A 4464-2026")</f>
        <v/>
      </c>
      <c r="X51">
        <f>HYPERLINK("https://klasma.github.io/Logging_1496/kartor/A 4464-2026 karta.png", "A 4464-2026")</f>
        <v/>
      </c>
      <c r="Y51">
        <f>HYPERLINK("https://klasma.github.io/Logging_1496/kartor_geotiff/A 4464-2026 georefererad karta.tif", "A 4464-2026")</f>
        <v/>
      </c>
      <c r="AA51">
        <f>HYPERLINK("https://klasma.github.io/Logging_1496/klagomål/A 4464-2026 FSC-klagomål.docx", "A 4464-2026")</f>
        <v/>
      </c>
      <c r="AB51">
        <f>HYPERLINK("https://klasma.github.io/Logging_1496/klagomålsmail/A 4464-2026 FSC-klagomål mail.docx", "A 4464-2026")</f>
        <v/>
      </c>
      <c r="AC51">
        <f>HYPERLINK("https://klasma.github.io/Logging_1496/tillsyn/A 4464-2026 tillsynsbegäran.docx", "A 4464-2026")</f>
        <v/>
      </c>
      <c r="AD51">
        <f>HYPERLINK("https://klasma.github.io/Logging_1496/tillsynsmail/A 4464-2026 tillsynsbegäran mail.docx", "A 4464-2026")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46266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Svinrot</t>
        </is>
      </c>
      <c r="W52">
        <f>HYPERLINK("https://klasma.github.io/Logging_1496/artfynd/A 6093-2026 artfynd.xlsx", "A 6093-2026")</f>
        <v/>
      </c>
      <c r="X52">
        <f>HYPERLINK("https://klasma.github.io/Logging_1496/kartor/A 6093-2026 karta.png", "A 6093-2026")</f>
        <v/>
      </c>
      <c r="Y52">
        <f>HYPERLINK("https://klasma.github.io/Logging_1496/kartor_geotiff/A 6093-2026 georefererad karta.tif", "A 6093-2026")</f>
        <v/>
      </c>
      <c r="AA52">
        <f>HYPERLINK("https://klasma.github.io/Logging_1496/klagomål/A 6093-2026 FSC-klagomål.docx", "A 6093-2026")</f>
        <v/>
      </c>
      <c r="AB52">
        <f>HYPERLINK("https://klasma.github.io/Logging_1496/klagomålsmail/A 6093-2026 FSC-klagomål mail.docx", "A 6093-2026")</f>
        <v/>
      </c>
      <c r="AC52">
        <f>HYPERLINK("https://klasma.github.io/Logging_1496/tillsyn/A 6093-2026 tillsynsbegäran.docx", "A 6093-2026")</f>
        <v/>
      </c>
      <c r="AD52">
        <f>HYPERLINK("https://klasma.github.io/Logging_1496/tillsynsmail/A 6093-2026 tillsynsbegäran mail.docx", "A 6093-2026")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46266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46266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61213-2024 artfynd.xlsx", "A 61213-2024")</f>
        <v/>
      </c>
      <c r="X54">
        <f>HYPERLINK("https://klasma.github.io/Logging_1496/kartor/A 61213-2024 karta.png", "A 61213-2024")</f>
        <v/>
      </c>
      <c r="Y54">
        <f>HYPERLINK("https://klasma.github.io/Logging_1496/kartor_geotiff/A 61213-2024 georefererad karta.tif", "A 61213-2024")</f>
        <v/>
      </c>
      <c r="AA54">
        <f>HYPERLINK("https://klasma.github.io/Logging_1496/klagomål/A 61213-2024 FSC-klagomål.docx", "A 61213-2024")</f>
        <v/>
      </c>
      <c r="AB54">
        <f>HYPERLINK("https://klasma.github.io/Logging_1496/klagomålsmail/A 61213-2024 FSC-klagomål mail.docx", "A 61213-2024")</f>
        <v/>
      </c>
      <c r="AC54">
        <f>HYPERLINK("https://klasma.github.io/Logging_1496/tillsyn/A 61213-2024 tillsynsbegäran.docx", "A 61213-2024")</f>
        <v/>
      </c>
      <c r="AD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46266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HYPERLINK("https://klasma.github.io/Logging_1496/artfynd/A 42904-2023 artfynd.xlsx", "A 42904-2023")</f>
        <v/>
      </c>
      <c r="X55">
        <f>HYPERLINK("https://klasma.github.io/Logging_1496/kartor/A 42904-2023 karta.png", "A 42904-2023")</f>
        <v/>
      </c>
      <c r="Y55">
        <f>HYPERLINK("https://klasma.github.io/Logging_1496/kartor_geotiff/A 42904-2023 georefererad karta.tif", "A 42904-2023")</f>
        <v/>
      </c>
      <c r="AA55">
        <f>HYPERLINK("https://klasma.github.io/Logging_1496/klagomål/A 42904-2023 FSC-klagomål.docx", "A 42904-2023")</f>
        <v/>
      </c>
      <c r="AB55">
        <f>HYPERLINK("https://klasma.github.io/Logging_1496/klagomålsmail/A 42904-2023 FSC-klagomål mail.docx", "A 42904-2023")</f>
        <v/>
      </c>
      <c r="AC55">
        <f>HYPERLINK("https://klasma.github.io/Logging_1496/tillsyn/A 42904-2023 tillsynsbegäran.docx", "A 42904-2023")</f>
        <v/>
      </c>
      <c r="AD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46266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46266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46266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28717-2026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46266</v>
      </c>
      <c r="F59" t="inlineStr">
        <is>
          <t>VÄSTRA GÖTALANDS LÄN</t>
        </is>
      </c>
      <c r="G59" t="inlineStr">
        <is>
          <t>SKÖVDE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28717-2026 artfynd.xlsx", "A 28717-2026")</f>
        <v/>
      </c>
      <c r="X59">
        <f>HYPERLINK("https://klasma.github.io/Logging_1496/kartor/A 28717-2026 karta.png", "A 28717-2026")</f>
        <v/>
      </c>
      <c r="Y59">
        <f>HYPERLINK("https://klasma.github.io/Logging_1496/kartor_geotiff/A 28717-2026 georefererad karta.tif", "A 28717-2026")</f>
        <v/>
      </c>
      <c r="AA59">
        <f>HYPERLINK("https://klasma.github.io/Logging_1496/klagomål/A 28717-2026 FSC-klagomål.docx", "A 28717-2026")</f>
        <v/>
      </c>
      <c r="AB59">
        <f>HYPERLINK("https://klasma.github.io/Logging_1496/klagomålsmail/A 28717-2026 FSC-klagomål mail.docx", "A 28717-2026")</f>
        <v/>
      </c>
      <c r="AC59">
        <f>HYPERLINK("https://klasma.github.io/Logging_1496/tillsyn/A 28717-2026 tillsynsbegäran.docx", "A 28717-2026")</f>
        <v/>
      </c>
      <c r="AD59">
        <f>HYPERLINK("https://klasma.github.io/Logging_1496/tillsynsmail/A 28717-2026 tillsynsbegäran mail.docx", "A 28717-2026")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46266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46266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46266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HYPERLINK("https://klasma.github.io/Logging_1496/artfynd/A 24814-2026 artfynd.xlsx", "A 24814-2026")</f>
        <v/>
      </c>
      <c r="X62">
        <f>HYPERLINK("https://klasma.github.io/Logging_1496/kartor/A 24814-2026 karta.png", "A 24814-2026")</f>
        <v/>
      </c>
      <c r="Y62">
        <f>HYPERLINK("https://klasma.github.io/Logging_1496/kartor_geotiff/A 24814-2026 georefererad karta.tif", "A 24814-2026")</f>
        <v/>
      </c>
      <c r="AA62">
        <f>HYPERLINK("https://klasma.github.io/Logging_1496/klagomål/A 24814-2026 FSC-klagomål.docx", "A 24814-2026")</f>
        <v/>
      </c>
      <c r="AB62">
        <f>HYPERLINK("https://klasma.github.io/Logging_1496/klagomålsmail/A 24814-2026 FSC-klagomål mail.docx", "A 24814-2026")</f>
        <v/>
      </c>
      <c r="AC62">
        <f>HYPERLINK("https://klasma.github.io/Logging_1496/tillsyn/A 24814-2026 tillsynsbegäran.docx", "A 24814-2026")</f>
        <v/>
      </c>
      <c r="AD62">
        <f>HYPERLINK("https://klasma.github.io/Logging_1496/tillsynsmail/A 24814-2026 tillsynsbegäran mail.docx", "A 24814-2026")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46266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46266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46266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46266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46266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46266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46266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46266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46266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46266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46266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46266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46266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46266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46266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46266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46266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46266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46266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46266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46266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46266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46266</v>
      </c>
      <c r="F88" t="inlineStr">
        <is>
          <t>VÄSTRA GÖTALANDS LÄN</t>
        </is>
      </c>
      <c r="G88" t="inlineStr">
        <is>
          <t>SKÖVDE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46266</v>
      </c>
      <c r="F89" t="inlineStr">
        <is>
          <t>VÄSTRA GÖTALANDS LÄN</t>
        </is>
      </c>
      <c r="G89" t="inlineStr">
        <is>
          <t>SKÖVDE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46266</v>
      </c>
      <c r="F90" t="inlineStr">
        <is>
          <t>VÄSTRA GÖTALANDS LÄN</t>
        </is>
      </c>
      <c r="G90" t="inlineStr">
        <is>
          <t>SKÖVDE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46266</v>
      </c>
      <c r="F91" t="inlineStr">
        <is>
          <t>VÄSTRA GÖTALANDS LÄN</t>
        </is>
      </c>
      <c r="G91" t="inlineStr">
        <is>
          <t>SKÖVDE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46266</v>
      </c>
      <c r="F92" t="inlineStr">
        <is>
          <t>VÄSTRA GÖTALANDS LÄN</t>
        </is>
      </c>
      <c r="G92" t="inlineStr">
        <is>
          <t>SKÖVDE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46266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46266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45932</v>
      </c>
      <c r="E95" s="1" t="n">
        <v>46266</v>
      </c>
      <c r="F95" t="inlineStr">
        <is>
          <t>VÄSTRA GÖTALANDS LÄN</t>
        </is>
      </c>
      <c r="G95" t="inlineStr">
        <is>
          <t>SKÖVDE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45197</v>
      </c>
      <c r="E96" s="1" t="n">
        <v>46266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46266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Kyrkan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45853</v>
      </c>
      <c r="E98" s="1" t="n">
        <v>46266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46266</v>
      </c>
      <c r="F99" t="inlineStr">
        <is>
          <t>VÄSTRA GÖTALANDS LÄN</t>
        </is>
      </c>
      <c r="G99" t="inlineStr">
        <is>
          <t>SKÖVDE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46266</v>
      </c>
      <c r="F100" t="inlineStr">
        <is>
          <t>VÄSTRA GÖTALANDS LÄN</t>
        </is>
      </c>
      <c r="G100" t="inlineStr">
        <is>
          <t>SKÖVDE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46266</v>
      </c>
      <c r="F101" t="inlineStr">
        <is>
          <t>VÄSTRA GÖTALANDS LÄN</t>
        </is>
      </c>
      <c r="G101" t="inlineStr">
        <is>
          <t>SKÖVDE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46266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46266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46266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46266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45743</v>
      </c>
      <c r="E106" s="1" t="n">
        <v>46266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45710</v>
      </c>
      <c r="E107" s="1" t="n">
        <v>46266</v>
      </c>
      <c r="F107" t="inlineStr">
        <is>
          <t>VÄSTRA GÖTALANDS LÄN</t>
        </is>
      </c>
      <c r="G107" t="inlineStr">
        <is>
          <t>SKÖVDE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45709</v>
      </c>
      <c r="E108" s="1" t="n">
        <v>46266</v>
      </c>
      <c r="F108" t="inlineStr">
        <is>
          <t>VÄSTRA GÖTALANDS LÄN</t>
        </is>
      </c>
      <c r="G108" t="inlineStr">
        <is>
          <t>SKÖVDE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45792</v>
      </c>
      <c r="E109" s="1" t="n">
        <v>46266</v>
      </c>
      <c r="F109" t="inlineStr">
        <is>
          <t>VÄSTRA GÖTALANDS LÄN</t>
        </is>
      </c>
      <c r="G109" t="inlineStr">
        <is>
          <t>SKÖVDE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45334</v>
      </c>
      <c r="E110" s="1" t="n">
        <v>46266</v>
      </c>
      <c r="F110" t="inlineStr">
        <is>
          <t>VÄSTRA GÖTALANDS LÄN</t>
        </is>
      </c>
      <c r="G110" t="inlineStr">
        <is>
          <t>SKÖVDE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45142</v>
      </c>
      <c r="E111" s="1" t="n">
        <v>46266</v>
      </c>
      <c r="F111" t="inlineStr">
        <is>
          <t>VÄSTRA GÖTALANDS LÄN</t>
        </is>
      </c>
      <c r="G111" t="inlineStr">
        <is>
          <t>SKÖVDE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46266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46266</v>
      </c>
      <c r="F113" t="inlineStr">
        <is>
          <t>VÄSTRA GÖTALANDS LÄN</t>
        </is>
      </c>
      <c r="G113" t="inlineStr">
        <is>
          <t>SKÖVDE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46266</v>
      </c>
      <c r="F114" t="inlineStr">
        <is>
          <t>VÄSTRA GÖTALANDS LÄN</t>
        </is>
      </c>
      <c r="G114" t="inlineStr">
        <is>
          <t>SKÖVDE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45749</v>
      </c>
      <c r="E115" s="1" t="n">
        <v>46266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46266</v>
      </c>
      <c r="F116" t="inlineStr">
        <is>
          <t>VÄSTRA GÖTALANDS LÄN</t>
        </is>
      </c>
      <c r="G116" t="inlineStr">
        <is>
          <t>SKÖVDE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46266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46266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46266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25642-2025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45803</v>
      </c>
      <c r="E120" s="1" t="n">
        <v>46266</v>
      </c>
      <c r="F120" t="inlineStr">
        <is>
          <t>VÄSTRA GÖTALANDS LÄN</t>
        </is>
      </c>
      <c r="G120" t="inlineStr">
        <is>
          <t>SKÖVDE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46266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25639-2025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45800</v>
      </c>
      <c r="E122" s="1" t="n">
        <v>46266</v>
      </c>
      <c r="F122" t="inlineStr">
        <is>
          <t>VÄSTRA GÖTALANDS LÄN</t>
        </is>
      </c>
      <c r="G122" t="inlineStr">
        <is>
          <t>SKÖVDE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46266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53740-2023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46266</v>
      </c>
      <c r="F124" t="inlineStr">
        <is>
          <t>VÄSTRA GÖTALANDS LÄN</t>
        </is>
      </c>
      <c r="G124" t="inlineStr">
        <is>
          <t>SKÖVDE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46266</v>
      </c>
      <c r="F125" t="inlineStr">
        <is>
          <t>VÄSTRA GÖTALANDS LÄN</t>
        </is>
      </c>
      <c r="G125" t="inlineStr">
        <is>
          <t>SKÖVDE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46266</v>
      </c>
      <c r="F126" t="inlineStr">
        <is>
          <t>VÄSTRA GÖTALANDS LÄN</t>
        </is>
      </c>
      <c r="G126" t="inlineStr">
        <is>
          <t>SKÖVDE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46266</v>
      </c>
      <c r="F127" t="inlineStr">
        <is>
          <t>VÄSTRA GÖTALANDS LÄN</t>
        </is>
      </c>
      <c r="G127" t="inlineStr">
        <is>
          <t>SKÖVDE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46266</v>
      </c>
      <c r="F128" t="inlineStr">
        <is>
          <t>VÄSTRA GÖTALANDS LÄN</t>
        </is>
      </c>
      <c r="G128" t="inlineStr">
        <is>
          <t>SKÖVDE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46266</v>
      </c>
      <c r="F129" t="inlineStr">
        <is>
          <t>VÄSTRA GÖTALANDS LÄN</t>
        </is>
      </c>
      <c r="G129" t="inlineStr">
        <is>
          <t>SKÖVDE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46266</v>
      </c>
      <c r="F130" t="inlineStr">
        <is>
          <t>VÄSTRA GÖTALANDS LÄN</t>
        </is>
      </c>
      <c r="G130" t="inlineStr">
        <is>
          <t>SKÖVDE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46266</v>
      </c>
      <c r="F131" t="inlineStr">
        <is>
          <t>VÄSTRA GÖTALANDS LÄN</t>
        </is>
      </c>
      <c r="G131" t="inlineStr">
        <is>
          <t>SKÖVDE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46266</v>
      </c>
      <c r="F132" t="inlineStr">
        <is>
          <t>VÄSTRA GÖTALANDS LÄN</t>
        </is>
      </c>
      <c r="G132" t="inlineStr">
        <is>
          <t>SKÖVDE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46266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46266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46266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46266</v>
      </c>
      <c r="F136" t="inlineStr">
        <is>
          <t>VÄSTRA GÖTALANDS LÄN</t>
        </is>
      </c>
      <c r="G136" t="inlineStr">
        <is>
          <t>SKÖVDE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46266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46266</v>
      </c>
      <c r="F138" t="inlineStr">
        <is>
          <t>VÄSTRA GÖTALANDS LÄN</t>
        </is>
      </c>
      <c r="G138" t="inlineStr">
        <is>
          <t>SKÖVDE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46266</v>
      </c>
      <c r="F139" t="inlineStr">
        <is>
          <t>VÄSTRA GÖTALANDS LÄN</t>
        </is>
      </c>
      <c r="G139" t="inlineStr">
        <is>
          <t>SKÖVDE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46266</v>
      </c>
      <c r="F140" t="inlineStr">
        <is>
          <t>VÄSTRA GÖTALANDS LÄN</t>
        </is>
      </c>
      <c r="G140" t="inlineStr">
        <is>
          <t>SKÖVDE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46266</v>
      </c>
      <c r="F141" t="inlineStr">
        <is>
          <t>VÄSTRA GÖTALANDS LÄN</t>
        </is>
      </c>
      <c r="G141" t="inlineStr">
        <is>
          <t>SKÖVDE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46266</v>
      </c>
      <c r="F142" t="inlineStr">
        <is>
          <t>VÄSTRA GÖTALANDS LÄN</t>
        </is>
      </c>
      <c r="G142" t="inlineStr">
        <is>
          <t>SKÖVDE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46266</v>
      </c>
      <c r="F143" t="inlineStr">
        <is>
          <t>VÄSTRA GÖTALANDS LÄN</t>
        </is>
      </c>
      <c r="G143" t="inlineStr">
        <is>
          <t>SKÖVDE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46266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46266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46266</v>
      </c>
      <c r="F146" t="inlineStr">
        <is>
          <t>VÄSTRA GÖTALANDS LÄN</t>
        </is>
      </c>
      <c r="G146" t="inlineStr">
        <is>
          <t>SKÖVDE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46266</v>
      </c>
      <c r="F147" t="inlineStr">
        <is>
          <t>VÄSTRA GÖTALANDS LÄN</t>
        </is>
      </c>
      <c r="G147" t="inlineStr">
        <is>
          <t>SKÖVDE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46266</v>
      </c>
      <c r="F148" t="inlineStr">
        <is>
          <t>VÄSTRA GÖTALANDS LÄN</t>
        </is>
      </c>
      <c r="G148" t="inlineStr">
        <is>
          <t>SKÖVDE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46266</v>
      </c>
      <c r="F149" t="inlineStr">
        <is>
          <t>VÄSTRA GÖTALANDS LÄN</t>
        </is>
      </c>
      <c r="G149" t="inlineStr">
        <is>
          <t>SKÖVDE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46266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46266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46266</v>
      </c>
      <c r="F152" t="inlineStr">
        <is>
          <t>VÄSTRA GÖTALANDS LÄN</t>
        </is>
      </c>
      <c r="G152" t="inlineStr">
        <is>
          <t>SKÖVDE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46266</v>
      </c>
      <c r="F153" t="inlineStr">
        <is>
          <t>VÄSTRA GÖTALANDS LÄN</t>
        </is>
      </c>
      <c r="G153" t="inlineStr">
        <is>
          <t>SKÖVDE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46266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46266</v>
      </c>
      <c r="F155" t="inlineStr">
        <is>
          <t>VÄSTRA GÖTALANDS LÄN</t>
        </is>
      </c>
      <c r="G155" t="inlineStr">
        <is>
          <t>SKÖVDE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60588-2023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45259</v>
      </c>
      <c r="E156" s="1" t="n">
        <v>46266</v>
      </c>
      <c r="F156" t="inlineStr">
        <is>
          <t>VÄSTRA GÖTALANDS LÄN</t>
        </is>
      </c>
      <c r="G156" t="inlineStr">
        <is>
          <t>SKÖVDE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46266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45267</v>
      </c>
      <c r="E158" s="1" t="n">
        <v>46266</v>
      </c>
      <c r="F158" t="inlineStr">
        <is>
          <t>VÄSTRA GÖTALANDS LÄN</t>
        </is>
      </c>
      <c r="G158" t="inlineStr">
        <is>
          <t>SKÖVDE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46266</v>
      </c>
      <c r="F159" t="inlineStr">
        <is>
          <t>VÄSTRA GÖTALANDS LÄN</t>
        </is>
      </c>
      <c r="G159" t="inlineStr">
        <is>
          <t>SKÖVDE</t>
        </is>
      </c>
      <c r="I159" t="n">
        <v>11.8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46266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46266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45301</v>
      </c>
      <c r="E162" s="1" t="n">
        <v>46266</v>
      </c>
      <c r="F162" t="inlineStr">
        <is>
          <t>VÄSTRA GÖTALANDS LÄN</t>
        </is>
      </c>
      <c r="G162" t="inlineStr">
        <is>
          <t>SKÖVDE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46266</v>
      </c>
      <c r="F163" t="inlineStr">
        <is>
          <t>VÄSTRA GÖTALANDS LÄN</t>
        </is>
      </c>
      <c r="G163" t="inlineStr">
        <is>
          <t>SKÖVDE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46266</v>
      </c>
      <c r="F164" t="inlineStr">
        <is>
          <t>VÄSTRA GÖTALANDS LÄN</t>
        </is>
      </c>
      <c r="G164" t="inlineStr">
        <is>
          <t>SKÖVDE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46266</v>
      </c>
      <c r="F165" t="inlineStr">
        <is>
          <t>VÄSTRA GÖTALANDS LÄN</t>
        </is>
      </c>
      <c r="G165" t="inlineStr">
        <is>
          <t>SKÖVDE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46266</v>
      </c>
      <c r="F166" t="inlineStr">
        <is>
          <t>VÄSTRA GÖTALANDS LÄN</t>
        </is>
      </c>
      <c r="G166" t="inlineStr">
        <is>
          <t>SKÖVDE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46266</v>
      </c>
      <c r="F167" t="inlineStr">
        <is>
          <t>VÄSTRA GÖTALANDS LÄN</t>
        </is>
      </c>
      <c r="G167" t="inlineStr">
        <is>
          <t>SKÖVDE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46266</v>
      </c>
      <c r="F168" t="inlineStr">
        <is>
          <t>VÄSTRA GÖTALANDS LÄN</t>
        </is>
      </c>
      <c r="G168" t="inlineStr">
        <is>
          <t>SKÖVDE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46266</v>
      </c>
      <c r="F169" t="inlineStr">
        <is>
          <t>VÄSTRA GÖTALANDS LÄN</t>
        </is>
      </c>
      <c r="G169" t="inlineStr">
        <is>
          <t>SKÖVDE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44586</v>
      </c>
      <c r="E170" s="1" t="n">
        <v>46266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46266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46266</v>
      </c>
      <c r="F172" t="inlineStr">
        <is>
          <t>VÄSTRA GÖTALANDS LÄN</t>
        </is>
      </c>
      <c r="G172" t="inlineStr">
        <is>
          <t>SKÖVDE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46266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35280-2024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45530</v>
      </c>
      <c r="E174" s="1" t="n">
        <v>46266</v>
      </c>
      <c r="F174" t="inlineStr">
        <is>
          <t>VÄSTRA GÖTALANDS LÄN</t>
        </is>
      </c>
      <c r="G174" t="inlineStr">
        <is>
          <t>SKÖVDE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46017</v>
      </c>
      <c r="E175" s="1" t="n">
        <v>46266</v>
      </c>
      <c r="F175" t="inlineStr">
        <is>
          <t>VÄSTRA GÖTALANDS LÄN</t>
        </is>
      </c>
      <c r="G175" t="inlineStr">
        <is>
          <t>SKÖVDE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46266</v>
      </c>
      <c r="F176" t="inlineStr">
        <is>
          <t>VÄSTRA GÖTALANDS LÄN</t>
        </is>
      </c>
      <c r="G176" t="inlineStr">
        <is>
          <t>SKÖVDE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44963</v>
      </c>
      <c r="E177" s="1" t="n">
        <v>46266</v>
      </c>
      <c r="F177" t="inlineStr">
        <is>
          <t>VÄSTRA GÖTALANDS LÄN</t>
        </is>
      </c>
      <c r="G177" t="inlineStr">
        <is>
          <t>SKÖVDE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46266</v>
      </c>
      <c r="F178" t="inlineStr">
        <is>
          <t>VÄSTRA GÖTALANDS LÄN</t>
        </is>
      </c>
      <c r="G178" t="inlineStr">
        <is>
          <t>SKÖVDE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45138</v>
      </c>
      <c r="E179" s="1" t="n">
        <v>46266</v>
      </c>
      <c r="F179" t="inlineStr">
        <is>
          <t>VÄSTRA GÖTALANDS LÄN</t>
        </is>
      </c>
      <c r="G179" t="inlineStr">
        <is>
          <t>SKÖVDE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46266</v>
      </c>
      <c r="F180" t="inlineStr">
        <is>
          <t>VÄSTRA GÖTALANDS LÄN</t>
        </is>
      </c>
      <c r="G180" t="inlineStr">
        <is>
          <t>SKÖVDE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60117-2021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44495</v>
      </c>
      <c r="E181" s="1" t="n">
        <v>46266</v>
      </c>
      <c r="F181" t="inlineStr">
        <is>
          <t>VÄSTRA GÖTALANDS LÄN</t>
        </is>
      </c>
      <c r="G181" t="inlineStr">
        <is>
          <t>SKÖVDE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46266</v>
      </c>
      <c r="F182" t="inlineStr">
        <is>
          <t>VÄSTRA GÖTALANDS LÄN</t>
        </is>
      </c>
      <c r="G182" t="inlineStr">
        <is>
          <t>SKÖVDE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46266</v>
      </c>
      <c r="F183" t="inlineStr">
        <is>
          <t>VÄSTRA GÖTALANDS LÄN</t>
        </is>
      </c>
      <c r="G183" t="inlineStr">
        <is>
          <t>SKÖVDE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46266</v>
      </c>
      <c r="F184" t="inlineStr">
        <is>
          <t>VÄSTRA GÖTALANDS LÄN</t>
        </is>
      </c>
      <c r="G184" t="inlineStr">
        <is>
          <t>SKÖVDE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46266</v>
      </c>
      <c r="F185" t="inlineStr">
        <is>
          <t>VÄSTRA GÖTALANDS LÄN</t>
        </is>
      </c>
      <c r="G185" t="inlineStr">
        <is>
          <t>SKÖVDE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46266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46266</v>
      </c>
      <c r="F187" t="inlineStr">
        <is>
          <t>VÄSTRA GÖTALANDS LÄN</t>
        </is>
      </c>
      <c r="G187" t="inlineStr">
        <is>
          <t>SKÖVDE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46266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46052</v>
      </c>
      <c r="E189" s="1" t="n">
        <v>46266</v>
      </c>
      <c r="F189" t="inlineStr">
        <is>
          <t>VÄSTRA GÖTALANDS LÄN</t>
        </is>
      </c>
      <c r="G189" t="inlineStr">
        <is>
          <t>SKÖVDE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46266</v>
      </c>
      <c r="F190" t="inlineStr">
        <is>
          <t>VÄSTRA GÖTALANDS LÄN</t>
        </is>
      </c>
      <c r="G190" t="inlineStr">
        <is>
          <t>SKÖVDE</t>
        </is>
      </c>
      <c r="I190" t="n">
        <v>11.7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46266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46266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Övriga statliga verk och myndigheter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46266</v>
      </c>
      <c r="F193" t="inlineStr">
        <is>
          <t>VÄSTRA GÖTALANDS LÄN</t>
        </is>
      </c>
      <c r="G193" t="inlineStr">
        <is>
          <t>SKÖVDE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46266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Övriga statliga verk och myndigheter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46266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46266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46266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46266</v>
      </c>
      <c r="F198" t="inlineStr">
        <is>
          <t>VÄSTRA GÖTALANDS LÄN</t>
        </is>
      </c>
      <c r="G198" t="inlineStr">
        <is>
          <t>SKÖVDE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46266</v>
      </c>
      <c r="F199" t="inlineStr">
        <is>
          <t>VÄSTRA GÖTALANDS LÄN</t>
        </is>
      </c>
      <c r="G199" t="inlineStr">
        <is>
          <t>SKÖVDE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46266</v>
      </c>
      <c r="F200" t="inlineStr">
        <is>
          <t>VÄSTRA GÖTALANDS LÄN</t>
        </is>
      </c>
      <c r="G200" t="inlineStr">
        <is>
          <t>SKÖVDE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46266</v>
      </c>
      <c r="F201" t="inlineStr">
        <is>
          <t>VÄSTRA GÖTALANDS LÄN</t>
        </is>
      </c>
      <c r="G201" t="inlineStr">
        <is>
          <t>SKÖVDE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46266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46091</v>
      </c>
      <c r="E203" s="1" t="n">
        <v>46266</v>
      </c>
      <c r="F203" t="inlineStr">
        <is>
          <t>VÄSTRA GÖTALANDS LÄN</t>
        </is>
      </c>
      <c r="G203" t="inlineStr">
        <is>
          <t>SKÖVDE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45013</v>
      </c>
      <c r="E204" s="1" t="n">
        <v>46266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46266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46266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14281-2026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46266</v>
      </c>
      <c r="F207" t="inlineStr">
        <is>
          <t>VÄSTRA GÖTALANDS LÄN</t>
        </is>
      </c>
      <c r="G207" t="inlineStr">
        <is>
          <t>SKÖVDE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13669-2023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45006</v>
      </c>
      <c r="E208" s="1" t="n">
        <v>46266</v>
      </c>
      <c r="F208" t="inlineStr">
        <is>
          <t>VÄSTRA GÖTALANDS LÄN</t>
        </is>
      </c>
      <c r="G208" t="inlineStr">
        <is>
          <t>SKÖVDE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46266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46266</v>
      </c>
      <c r="F210" t="inlineStr">
        <is>
          <t>VÄSTRA GÖTALANDS LÄN</t>
        </is>
      </c>
      <c r="G210" t="inlineStr">
        <is>
          <t>SKÖVDE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46266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46266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46266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46266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46266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46266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46266</v>
      </c>
      <c r="F217" t="inlineStr">
        <is>
          <t>VÄSTRA GÖTALANDS LÄN</t>
        </is>
      </c>
      <c r="G217" t="inlineStr">
        <is>
          <t>SKÖVDE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46266</v>
      </c>
      <c r="F218" t="inlineStr">
        <is>
          <t>VÄSTRA GÖTALANDS LÄN</t>
        </is>
      </c>
      <c r="G218" t="inlineStr">
        <is>
          <t>SKÖVDE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45685</v>
      </c>
      <c r="E219" s="1" t="n">
        <v>46266</v>
      </c>
      <c r="F219" t="inlineStr">
        <is>
          <t>VÄSTRA GÖTALANDS LÄN</t>
        </is>
      </c>
      <c r="G219" t="inlineStr">
        <is>
          <t>SKÖVDE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46266</v>
      </c>
      <c r="F220" t="inlineStr">
        <is>
          <t>VÄSTRA GÖTALANDS LÄN</t>
        </is>
      </c>
      <c r="G220" t="inlineStr">
        <is>
          <t>SKÖVDE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46266</v>
      </c>
      <c r="F221" t="inlineStr">
        <is>
          <t>VÄSTRA GÖTALANDS LÄN</t>
        </is>
      </c>
      <c r="G221" t="inlineStr">
        <is>
          <t>SKÖVDE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46266</v>
      </c>
      <c r="F222" t="inlineStr">
        <is>
          <t>VÄSTRA GÖTALANDS LÄN</t>
        </is>
      </c>
      <c r="G222" t="inlineStr">
        <is>
          <t>SKÖVDE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44938</v>
      </c>
      <c r="E223" s="1" t="n">
        <v>46266</v>
      </c>
      <c r="F223" t="inlineStr">
        <is>
          <t>VÄSTRA GÖTALANDS LÄN</t>
        </is>
      </c>
      <c r="G223" t="inlineStr">
        <is>
          <t>SKÖVDE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45376</v>
      </c>
      <c r="E224" s="1" t="n">
        <v>46266</v>
      </c>
      <c r="F224" t="inlineStr">
        <is>
          <t>VÄSTRA GÖTALANDS LÄN</t>
        </is>
      </c>
      <c r="G224" t="inlineStr">
        <is>
          <t>SKÖVDE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44820</v>
      </c>
      <c r="E225" s="1" t="n">
        <v>46266</v>
      </c>
      <c r="F225" t="inlineStr">
        <is>
          <t>VÄSTRA GÖTALANDS LÄN</t>
        </is>
      </c>
      <c r="G225" t="inlineStr">
        <is>
          <t>SKÖVDE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46266</v>
      </c>
      <c r="F226" t="inlineStr">
        <is>
          <t>VÄSTRA GÖTALANDS LÄN</t>
        </is>
      </c>
      <c r="G226" t="inlineStr">
        <is>
          <t>SKÖVDE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46266</v>
      </c>
      <c r="F227" t="inlineStr">
        <is>
          <t>VÄSTRA GÖTALANDS LÄN</t>
        </is>
      </c>
      <c r="G227" t="inlineStr">
        <is>
          <t>SKÖVDE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46266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46266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46266</v>
      </c>
      <c r="F230" t="inlineStr">
        <is>
          <t>VÄSTRA GÖTALANDS LÄN</t>
        </is>
      </c>
      <c r="G230" t="inlineStr">
        <is>
          <t>SKÖVDE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46266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46266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45687</v>
      </c>
      <c r="E233" s="1" t="n">
        <v>46266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46266</v>
      </c>
      <c r="F234" t="inlineStr">
        <is>
          <t>VÄSTRA GÖTALANDS LÄN</t>
        </is>
      </c>
      <c r="G234" t="inlineStr">
        <is>
          <t>SKÖVDE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46266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46266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45267</v>
      </c>
      <c r="E237" s="1" t="n">
        <v>46266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46266</v>
      </c>
      <c r="F238" t="inlineStr">
        <is>
          <t>VÄSTRA GÖTALANDS LÄN</t>
        </is>
      </c>
      <c r="G238" t="inlineStr">
        <is>
          <t>SKÖVDE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17798-2024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45418</v>
      </c>
      <c r="E239" s="1" t="n">
        <v>46266</v>
      </c>
      <c r="F239" t="inlineStr">
        <is>
          <t>VÄSTRA GÖTALANDS LÄN</t>
        </is>
      </c>
      <c r="G239" t="inlineStr">
        <is>
          <t>SKÖVDE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2901-2026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46038</v>
      </c>
      <c r="E240" s="1" t="n">
        <v>46266</v>
      </c>
      <c r="F240" t="inlineStr">
        <is>
          <t>VÄSTRA GÖTALANDS LÄN</t>
        </is>
      </c>
      <c r="G240" t="inlineStr">
        <is>
          <t>SKÖVDE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45301</v>
      </c>
      <c r="E241" s="1" t="n">
        <v>46266</v>
      </c>
      <c r="F241" t="inlineStr">
        <is>
          <t>VÄSTRA GÖTALANDS LÄN</t>
        </is>
      </c>
      <c r="G241" t="inlineStr">
        <is>
          <t>SKÖVDE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46266</v>
      </c>
      <c r="F242" t="inlineStr">
        <is>
          <t>VÄSTRA GÖTALANDS LÄN</t>
        </is>
      </c>
      <c r="G242" t="inlineStr">
        <is>
          <t>SKÖVDE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44811</v>
      </c>
      <c r="E243" s="1" t="n">
        <v>46266</v>
      </c>
      <c r="F243" t="inlineStr">
        <is>
          <t>VÄSTRA GÖTALANDS LÄN</t>
        </is>
      </c>
      <c r="G243" t="inlineStr">
        <is>
          <t>SKÖVDE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45706</v>
      </c>
      <c r="E244" s="1" t="n">
        <v>46266</v>
      </c>
      <c r="F244" t="inlineStr">
        <is>
          <t>VÄSTRA GÖTALANDS LÄN</t>
        </is>
      </c>
      <c r="G244" t="inlineStr">
        <is>
          <t>SKÖVDE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46266</v>
      </c>
      <c r="F245" t="inlineStr">
        <is>
          <t>VÄSTRA GÖTALANDS LÄN</t>
        </is>
      </c>
      <c r="G245" t="inlineStr">
        <is>
          <t>SKÖVDE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46266</v>
      </c>
      <c r="F246" t="inlineStr">
        <is>
          <t>VÄSTRA GÖTALANDS LÄN</t>
        </is>
      </c>
      <c r="G246" t="inlineStr">
        <is>
          <t>SKÖVDE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46266</v>
      </c>
      <c r="F247" t="inlineStr">
        <is>
          <t>VÄSTRA GÖTALANDS LÄN</t>
        </is>
      </c>
      <c r="G247" t="inlineStr">
        <is>
          <t>SKÖVDE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46182</v>
      </c>
      <c r="E248" s="1" t="n">
        <v>46266</v>
      </c>
      <c r="F248" t="inlineStr">
        <is>
          <t>VÄSTRA GÖTALANDS LÄN</t>
        </is>
      </c>
      <c r="G248" t="inlineStr">
        <is>
          <t>SKÖVDE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26914-2026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46185</v>
      </c>
      <c r="E249" s="1" t="n">
        <v>46266</v>
      </c>
      <c r="F249" t="inlineStr">
        <is>
          <t>VÄSTRA GÖTALANDS LÄN</t>
        </is>
      </c>
      <c r="G249" t="inlineStr">
        <is>
          <t>SKÖVDE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46266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46266</v>
      </c>
      <c r="F251" t="inlineStr">
        <is>
          <t>VÄSTRA GÖTALANDS LÄN</t>
        </is>
      </c>
      <c r="G251" t="inlineStr">
        <is>
          <t>SKÖVDE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46266</v>
      </c>
      <c r="F252" t="inlineStr">
        <is>
          <t>VÄSTRA GÖTALANDS LÄN</t>
        </is>
      </c>
      <c r="G252" t="inlineStr">
        <is>
          <t>SKÖVDE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46266</v>
      </c>
      <c r="F253" t="inlineStr">
        <is>
          <t>VÄSTRA GÖTALANDS LÄN</t>
        </is>
      </c>
      <c r="G253" t="inlineStr">
        <is>
          <t>SKÖVDE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46266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46266</v>
      </c>
      <c r="F255" t="inlineStr">
        <is>
          <t>VÄSTRA GÖTALANDS LÄN</t>
        </is>
      </c>
      <c r="G255" t="inlineStr">
        <is>
          <t>SKÖVDE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46266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46266</v>
      </c>
      <c r="F257" t="inlineStr">
        <is>
          <t>VÄSTRA GÖTALANDS LÄN</t>
        </is>
      </c>
      <c r="G257" t="inlineStr">
        <is>
          <t>SKÖVDE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46266</v>
      </c>
      <c r="F258" t="inlineStr">
        <is>
          <t>VÄSTRA GÖTALANDS LÄN</t>
        </is>
      </c>
      <c r="G258" t="inlineStr">
        <is>
          <t>SKÖVDE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46266</v>
      </c>
      <c r="F259" t="inlineStr">
        <is>
          <t>VÄSTRA GÖTALANDS LÄN</t>
        </is>
      </c>
      <c r="G259" t="inlineStr">
        <is>
          <t>SKÖVDE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46266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46266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2026-09-01T02:10:07Z</dcterms:created>
  <dcterms:modified xmlns:dcterms="http://purl.org/dc/terms/" xmlns:xsi="http://www.w3.org/2001/XMLSchema-instance" xsi:type="dcterms:W3CDTF">2026-09-01T02:10:07Z</dcterms:modified>
</cp:coreProperties>
</file>