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28323-2026</t>
        </is>
      </c>
      <c r="B2" s="1" t="n">
        <v>46196</v>
      </c>
      <c r="C2" s="1" t="n">
        <v>46203</v>
      </c>
      <c r="D2" t="inlineStr">
        <is>
          <t>VÄSTRA GÖTALANDS LÄN</t>
        </is>
      </c>
      <c r="E2" t="inlineStr">
        <is>
          <t>SKÖVDE</t>
        </is>
      </c>
      <c r="F2" t="inlineStr">
        <is>
          <t>Kommuner</t>
        </is>
      </c>
      <c r="G2" t="n">
        <v>3.6</v>
      </c>
      <c r="H2" t="n">
        <v>3</v>
      </c>
      <c r="I2" t="n">
        <v>7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Ask
Gränsticka
Knärot
Gransotdyna
Stor vårtrattskivling
Blåmossa
Grönpyrola
Skogsknipprot
Stor revmossa
Thomsons trägnagare
Trådticka
Vedticka
Revlummer</t>
        </is>
      </c>
      <c r="S2">
        <f>HYPERLINK("https://klasma.github.io/Logging_1496/artfynd/A 28323-2026 artfynd.xlsx", "A 28323-2026")</f>
        <v/>
      </c>
      <c r="T2">
        <f>HYPERLINK("https://klasma.github.io/Logging_1496/kartor/A 28323-2026 karta.png", "A 28323-2026")</f>
        <v/>
      </c>
      <c r="U2">
        <f>HYPERLINK("https://klasma.github.io/Logging_1496/knärot/A 28323-2026 karta knärot.png", "A 28323-2026")</f>
        <v/>
      </c>
      <c r="V2">
        <f>HYPERLINK("https://klasma.github.io/Logging_1496/klagomål/A 28323-2026 FSC-klagomål.docx", "A 28323-2026")</f>
        <v/>
      </c>
      <c r="W2">
        <f>HYPERLINK("https://klasma.github.io/Logging_1496/klagomålsmail/A 28323-2026 FSC-klagomål mail.docx", "A 28323-2026")</f>
        <v/>
      </c>
      <c r="X2">
        <f>HYPERLINK("https://klasma.github.io/Logging_1496/tillsyn/A 28323-2026 tillsynsbegäran.docx", "A 28323-2026")</f>
        <v/>
      </c>
      <c r="Y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s="1" t="n">
        <v>46198</v>
      </c>
      <c r="C3" s="1" t="n">
        <v>46203</v>
      </c>
      <c r="D3" t="inlineStr">
        <is>
          <t>VÄSTRA GÖTALANDS LÄN</t>
        </is>
      </c>
      <c r="E3" t="inlineStr">
        <is>
          <t>SKÖVDE</t>
        </is>
      </c>
      <c r="G3" t="n">
        <v>12</v>
      </c>
      <c r="H3" t="n">
        <v>2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12</v>
      </c>
      <c r="R3" s="2" t="inlineStr">
        <is>
          <t>Ask
Lundvaxskivling
Brun purpurspindling
Rävticka
Blåsippa
Ekorrbär
Kärrfibbla
Mörk lungört
Skogsbingel
Storrams
Tandrot
Gullviva</t>
        </is>
      </c>
      <c r="S3">
        <f>HYPERLINK("https://klasma.github.io/Logging_1496/artfynd/A 28715-2026 artfynd.xlsx", "A 28715-2026")</f>
        <v/>
      </c>
      <c r="T3">
        <f>HYPERLINK("https://klasma.github.io/Logging_1496/kartor/A 28715-2026 karta.png", "A 28715-2026")</f>
        <v/>
      </c>
      <c r="V3">
        <f>HYPERLINK("https://klasma.github.io/Logging_1496/klagomål/A 28715-2026 FSC-klagomål.docx", "A 28715-2026")</f>
        <v/>
      </c>
      <c r="W3">
        <f>HYPERLINK("https://klasma.github.io/Logging_1496/klagomålsmail/A 28715-2026 FSC-klagomål mail.docx", "A 28715-2026")</f>
        <v/>
      </c>
      <c r="X3">
        <f>HYPERLINK("https://klasma.github.io/Logging_1496/tillsyn/A 28715-2026 tillsynsbegäran.docx", "A 28715-2026")</f>
        <v/>
      </c>
      <c r="Y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s="1" t="n">
        <v>45876</v>
      </c>
      <c r="C4" s="1" t="n">
        <v>46203</v>
      </c>
      <c r="D4" t="inlineStr">
        <is>
          <t>VÄSTRA GÖTALANDS LÄN</t>
        </is>
      </c>
      <c r="E4" t="inlineStr">
        <is>
          <t>SKÖVDE</t>
        </is>
      </c>
      <c r="G4" t="n">
        <v>2.2</v>
      </c>
      <c r="H4" t="n">
        <v>3</v>
      </c>
      <c r="I4" t="n">
        <v>2</v>
      </c>
      <c r="J4" t="n">
        <v>1</v>
      </c>
      <c r="K4" t="n">
        <v>4</v>
      </c>
      <c r="L4" t="n">
        <v>0</v>
      </c>
      <c r="M4" t="n">
        <v>0</v>
      </c>
      <c r="N4" t="n">
        <v>0</v>
      </c>
      <c r="O4" t="n">
        <v>5</v>
      </c>
      <c r="P4" t="n">
        <v>4</v>
      </c>
      <c r="Q4" t="n">
        <v>10</v>
      </c>
      <c r="R4" s="2" t="inlineStr">
        <is>
          <t>Brunfläckig pärlemorfjäril
Sexfläckig bastardsvärmare
Silverblåvinge
Trollsmultron
Jungfrulin
Svart trolldruva
Tibast
Grönsiska
Kungsfågel
Fläcknycklar</t>
        </is>
      </c>
      <c r="S4">
        <f>HYPERLINK("https://klasma.github.io/Logging_1496/artfynd/A 37358-2025 artfynd.xlsx", "A 37358-2025")</f>
        <v/>
      </c>
      <c r="T4">
        <f>HYPERLINK("https://klasma.github.io/Logging_1496/kartor/A 37358-2025 karta.png", "A 37358-2025")</f>
        <v/>
      </c>
      <c r="V4">
        <f>HYPERLINK("https://klasma.github.io/Logging_1496/klagomål/A 37358-2025 FSC-klagomål.docx", "A 37358-2025")</f>
        <v/>
      </c>
      <c r="W4">
        <f>HYPERLINK("https://klasma.github.io/Logging_1496/klagomålsmail/A 37358-2025 FSC-klagomål mail.docx", "A 37358-2025")</f>
        <v/>
      </c>
      <c r="X4">
        <f>HYPERLINK("https://klasma.github.io/Logging_1496/tillsyn/A 37358-2025 tillsynsbegäran.docx", "A 37358-2025")</f>
        <v/>
      </c>
      <c r="Y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46203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Almrostöra
Skogsalm
Hasselticka
Nästrot
Rävticka
Havsörn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s="1" t="n">
        <v>46182</v>
      </c>
      <c r="C6" s="1" t="n">
        <v>46203</v>
      </c>
      <c r="D6" t="inlineStr">
        <is>
          <t>VÄSTRA GÖTALANDS LÄN</t>
        </is>
      </c>
      <c r="E6" t="inlineStr">
        <is>
          <t>SKÖVDE</t>
        </is>
      </c>
      <c r="G6" t="n">
        <v>6.8</v>
      </c>
      <c r="H6" t="n">
        <v>1</v>
      </c>
      <c r="I6" t="n">
        <v>3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Gullpudra
Dvärghäxört
Svart trolldruva
Ögonpyrola
Grönvit nattviol</t>
        </is>
      </c>
      <c r="S6">
        <f>HYPERLINK("https://klasma.github.io/Logging_1496/artfynd/A 26362-2026 artfynd.xlsx", "A 26362-2026")</f>
        <v/>
      </c>
      <c r="T6">
        <f>HYPERLINK("https://klasma.github.io/Logging_1496/kartor/A 26362-2026 karta.png", "A 26362-2026")</f>
        <v/>
      </c>
      <c r="V6">
        <f>HYPERLINK("https://klasma.github.io/Logging_1496/klagomål/A 26362-2026 FSC-klagomål.docx", "A 26362-2026")</f>
        <v/>
      </c>
      <c r="W6">
        <f>HYPERLINK("https://klasma.github.io/Logging_1496/klagomålsmail/A 26362-2026 FSC-klagomål mail.docx", "A 26362-2026")</f>
        <v/>
      </c>
      <c r="X6">
        <f>HYPERLINK("https://klasma.github.io/Logging_1496/tillsyn/A 26362-2026 tillsynsbegäran.docx", "A 26362-2026")</f>
        <v/>
      </c>
      <c r="Y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s="1" t="n">
        <v>44495</v>
      </c>
      <c r="C7" s="1" t="n">
        <v>46203</v>
      </c>
      <c r="D7" t="inlineStr">
        <is>
          <t>VÄSTRA GÖTALANDS LÄN</t>
        </is>
      </c>
      <c r="E7" t="inlineStr">
        <is>
          <t>SKÖVDE</t>
        </is>
      </c>
      <c r="G7" t="n">
        <v>5.5</v>
      </c>
      <c r="H7" t="n">
        <v>2</v>
      </c>
      <c r="I7" t="n">
        <v>1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Ask
Tistelsnyltrot
Klasefibbla
Sommarfibbla
Svinrot
Tvåblad</t>
        </is>
      </c>
      <c r="S7">
        <f>HYPERLINK("https://klasma.github.io/Logging_1496/artfynd/A 60176-2021 artfynd.xlsx", "A 60176-2021")</f>
        <v/>
      </c>
      <c r="T7">
        <f>HYPERLINK("https://klasma.github.io/Logging_1496/kartor/A 60176-2021 karta.png", "A 60176-2021")</f>
        <v/>
      </c>
      <c r="V7">
        <f>HYPERLINK("https://klasma.github.io/Logging_1496/klagomål/A 60176-2021 FSC-klagomål.docx", "A 60176-2021")</f>
        <v/>
      </c>
      <c r="W7">
        <f>HYPERLINK("https://klasma.github.io/Logging_1496/klagomålsmail/A 60176-2021 FSC-klagomål mail.docx", "A 60176-2021")</f>
        <v/>
      </c>
      <c r="X7">
        <f>HYPERLINK("https://klasma.github.io/Logging_1496/tillsyn/A 60176-2021 tillsynsbegäran.docx", "A 60176-2021")</f>
        <v/>
      </c>
      <c r="Y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s="1" t="n">
        <v>46014</v>
      </c>
      <c r="C8" s="1" t="n">
        <v>46203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Gullklöver
Jungfrulin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46203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Hässleklocka
Korallrot
Tibast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11192-2026</t>
        </is>
      </c>
      <c r="B10" s="1" t="n">
        <v>46080</v>
      </c>
      <c r="C10" s="1" t="n">
        <v>46203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Blåsippa
Liljekonvalj
Ormbär
Skogsbingel
Gullviva</t>
        </is>
      </c>
      <c r="S10">
        <f>HYPERLINK("https://klasma.github.io/Logging_1496/artfynd/A 11192-2026 artfynd.xlsx", "A 11192-2026")</f>
        <v/>
      </c>
      <c r="T10">
        <f>HYPERLINK("https://klasma.github.io/Logging_1496/kartor/A 11192-2026 karta.png", "A 11192-2026")</f>
        <v/>
      </c>
      <c r="V10">
        <f>HYPERLINK("https://klasma.github.io/Logging_1496/klagomål/A 11192-2026 FSC-klagomål.docx", "A 11192-2026")</f>
        <v/>
      </c>
      <c r="W10">
        <f>HYPERLINK("https://klasma.github.io/Logging_1496/klagomålsmail/A 11192-2026 FSC-klagomål mail.docx", "A 11192-2026")</f>
        <v/>
      </c>
      <c r="X10">
        <f>HYPERLINK("https://klasma.github.io/Logging_1496/tillsyn/A 11192-2026 tillsynsbegäran.docx", "A 11192-2026")</f>
        <v/>
      </c>
      <c r="Y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s="1" t="n">
        <v>44445</v>
      </c>
      <c r="C11" s="1" t="n">
        <v>46203</v>
      </c>
      <c r="D11" t="inlineStr">
        <is>
          <t>VÄSTRA GÖTALANDS LÄN</t>
        </is>
      </c>
      <c r="E11" t="inlineStr">
        <is>
          <t>SKÖVDE</t>
        </is>
      </c>
      <c r="G11" t="n">
        <v>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Långfibbla
Droppklibbskivling
Gråvaxing
Strimspindling</t>
        </is>
      </c>
      <c r="S11">
        <f>HYPERLINK("https://klasma.github.io/Logging_1496/artfynd/A 46649-2021 artfynd.xlsx", "A 46649-2021")</f>
        <v/>
      </c>
      <c r="T11">
        <f>HYPERLINK("https://klasma.github.io/Logging_1496/kartor/A 46649-2021 karta.png", "A 46649-2021")</f>
        <v/>
      </c>
      <c r="V11">
        <f>HYPERLINK("https://klasma.github.io/Logging_1496/klagomål/A 46649-2021 FSC-klagomål.docx", "A 46649-2021")</f>
        <v/>
      </c>
      <c r="W11">
        <f>HYPERLINK("https://klasma.github.io/Logging_1496/klagomålsmail/A 46649-2021 FSC-klagomål mail.docx", "A 46649-2021")</f>
        <v/>
      </c>
      <c r="X11">
        <f>HYPERLINK("https://klasma.github.io/Logging_1496/tillsyn/A 46649-2021 tillsynsbegäran.docx", "A 46649-2021")</f>
        <v/>
      </c>
      <c r="Y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s="1" t="n">
        <v>44595</v>
      </c>
      <c r="C12" s="1" t="n">
        <v>46203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Grantaggsvamp
Skogsknipprot
Revlummer</t>
        </is>
      </c>
      <c r="S12">
        <f>HYPERLINK("https://klasma.github.io/Logging_1496/artfynd/A 5481-2022 artfynd.xlsx", "A 5481-2022")</f>
        <v/>
      </c>
      <c r="T12">
        <f>HYPERLINK("https://klasma.github.io/Logging_1496/kartor/A 5481-2022 karta.png", "A 5481-2022")</f>
        <v/>
      </c>
      <c r="U12">
        <f>HYPERLINK("https://klasma.github.io/Logging_1496/knärot/A 5481-2022 karta knärot.png", "A 5481-2022")</f>
        <v/>
      </c>
      <c r="V12">
        <f>HYPERLINK("https://klasma.github.io/Logging_1496/klagomål/A 5481-2022 FSC-klagomål.docx", "A 5481-2022")</f>
        <v/>
      </c>
      <c r="W12">
        <f>HYPERLINK("https://klasma.github.io/Logging_1496/klagomålsmail/A 5481-2022 FSC-klagomål mail.docx", "A 5481-2022")</f>
        <v/>
      </c>
      <c r="X12">
        <f>HYPERLINK("https://klasma.github.io/Logging_1496/tillsyn/A 5481-2022 tillsynsbegäran.docx", "A 5481-2022")</f>
        <v/>
      </c>
      <c r="Y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s="1" t="n">
        <v>44594</v>
      </c>
      <c r="C13" s="1" t="n">
        <v>46203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0.5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Stor bockrot
Skogsbräsma
Spillkråka
Lopplummer (aggregat)</t>
        </is>
      </c>
      <c r="S13">
        <f>HYPERLINK("https://klasma.github.io/Logging_1496/artfynd/A 5177-2022 artfynd.xlsx", "A 5177-2022")</f>
        <v/>
      </c>
      <c r="T13">
        <f>HYPERLINK("https://klasma.github.io/Logging_1496/kartor/A 5177-2022 karta.png", "A 5177-2022")</f>
        <v/>
      </c>
      <c r="V13">
        <f>HYPERLINK("https://klasma.github.io/Logging_1496/klagomål/A 5177-2022 FSC-klagomål.docx", "A 5177-2022")</f>
        <v/>
      </c>
      <c r="W13">
        <f>HYPERLINK("https://klasma.github.io/Logging_1496/klagomålsmail/A 5177-2022 FSC-klagomål mail.docx", "A 5177-2022")</f>
        <v/>
      </c>
      <c r="X13">
        <f>HYPERLINK("https://klasma.github.io/Logging_1496/tillsyn/A 5177-2022 tillsynsbegäran.docx", "A 5177-2022")</f>
        <v/>
      </c>
      <c r="Y13">
        <f>HYPERLINK("https://klasma.github.io/Logging_1496/tillsynsmail/A 5177-2022 tillsynsbegäran mail.docx", "A 5177-2022")</f>
        <v/>
      </c>
      <c r="Z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s="1" t="n">
        <v>45979</v>
      </c>
      <c r="C14" s="1" t="n">
        <v>46203</v>
      </c>
      <c r="D14" t="inlineStr">
        <is>
          <t>VÄSTRA GÖTALANDS LÄN</t>
        </is>
      </c>
      <c r="E14" t="inlineStr">
        <is>
          <t>SKÖVDE</t>
        </is>
      </c>
      <c r="G14" t="n">
        <v>2.8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Knärot
Dropptaggsvamp
Motaggsvamp
Orange taggsvamp</t>
        </is>
      </c>
      <c r="S14">
        <f>HYPERLINK("https://klasma.github.io/Logging_1496/artfynd/A 57163-2025 artfynd.xlsx", "A 57163-2025")</f>
        <v/>
      </c>
      <c r="T14">
        <f>HYPERLINK("https://klasma.github.io/Logging_1496/kartor/A 57163-2025 karta.png", "A 57163-2025")</f>
        <v/>
      </c>
      <c r="U14">
        <f>HYPERLINK("https://klasma.github.io/Logging_1496/knärot/A 57163-2025 karta knärot.png", "A 57163-2025")</f>
        <v/>
      </c>
      <c r="V14">
        <f>HYPERLINK("https://klasma.github.io/Logging_1496/klagomål/A 57163-2025 FSC-klagomål.docx", "A 57163-2025")</f>
        <v/>
      </c>
      <c r="W14">
        <f>HYPERLINK("https://klasma.github.io/Logging_1496/klagomålsmail/A 57163-2025 FSC-klagomål mail.docx", "A 57163-2025")</f>
        <v/>
      </c>
      <c r="X14">
        <f>HYPERLINK("https://klasma.github.io/Logging_1496/tillsyn/A 57163-2025 tillsynsbegäran.docx", "A 57163-2025")</f>
        <v/>
      </c>
      <c r="Y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s="1" t="n">
        <v>45306</v>
      </c>
      <c r="C15" s="1" t="n">
        <v>46203</v>
      </c>
      <c r="D15" t="inlineStr">
        <is>
          <t>VÄSTRA GÖTALANDS LÄN</t>
        </is>
      </c>
      <c r="E15" t="inlineStr">
        <is>
          <t>SKÖVDE</t>
        </is>
      </c>
      <c r="G15" t="n">
        <v>6.1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Entita
Motaggsvamp
Grovticka</t>
        </is>
      </c>
      <c r="S15">
        <f>HYPERLINK("https://klasma.github.io/Logging_1496/artfynd/A 1630-2024 artfynd.xlsx", "A 1630-2024")</f>
        <v/>
      </c>
      <c r="T15">
        <f>HYPERLINK("https://klasma.github.io/Logging_1496/kartor/A 1630-2024 karta.png", "A 1630-2024")</f>
        <v/>
      </c>
      <c r="U15">
        <f>HYPERLINK("https://klasma.github.io/Logging_1496/knärot/A 1630-2024 karta knärot.png", "A 1630-2024")</f>
        <v/>
      </c>
      <c r="V15">
        <f>HYPERLINK("https://klasma.github.io/Logging_1496/klagomål/A 1630-2024 FSC-klagomål.docx", "A 1630-2024")</f>
        <v/>
      </c>
      <c r="W15">
        <f>HYPERLINK("https://klasma.github.io/Logging_1496/klagomålsmail/A 1630-2024 FSC-klagomål mail.docx", "A 1630-2024")</f>
        <v/>
      </c>
      <c r="X15">
        <f>HYPERLINK("https://klasma.github.io/Logging_1496/tillsyn/A 1630-2024 tillsynsbegäran.docx", "A 1630-2024")</f>
        <v/>
      </c>
      <c r="Y15">
        <f>HYPERLINK("https://klasma.github.io/Logging_1496/tillsynsmail/A 1630-2024 tillsynsbegäran mail.docx", "A 1630-2024")</f>
        <v/>
      </c>
      <c r="Z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46203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Tallbit
Grönsiska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  <c r="Z16">
        <f>HYPERLINK("https://klasma.github.io/Logging_1496/fåglar/A 3410-2023 prioriterade fågelarter.docx", "A 3410-2023")</f>
        <v/>
      </c>
    </row>
    <row r="17" ht="15" customHeight="1">
      <c r="A17" t="inlineStr">
        <is>
          <t>A 9281-2025</t>
        </is>
      </c>
      <c r="B17" s="1" t="n">
        <v>45714</v>
      </c>
      <c r="C17" s="1" t="n">
        <v>46203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Nötkråka
Talltita
Vanlig groda
Revlummer</t>
        </is>
      </c>
      <c r="S17">
        <f>HYPERLINK("https://klasma.github.io/Logging_1496/artfynd/A 9281-2025 artfynd.xlsx", "A 9281-2025")</f>
        <v/>
      </c>
      <c r="T17">
        <f>HYPERLINK("https://klasma.github.io/Logging_1496/kartor/A 9281-2025 karta.png", "A 9281-2025")</f>
        <v/>
      </c>
      <c r="V17">
        <f>HYPERLINK("https://klasma.github.io/Logging_1496/klagomål/A 9281-2025 FSC-klagomål.docx", "A 9281-2025")</f>
        <v/>
      </c>
      <c r="W17">
        <f>HYPERLINK("https://klasma.github.io/Logging_1496/klagomålsmail/A 9281-2025 FSC-klagomål mail.docx", "A 9281-2025")</f>
        <v/>
      </c>
      <c r="X17">
        <f>HYPERLINK("https://klasma.github.io/Logging_1496/tillsyn/A 9281-2025 tillsynsbegäran.docx", "A 9281-2025")</f>
        <v/>
      </c>
      <c r="Y17">
        <f>HYPERLINK("https://klasma.github.io/Logging_1496/tillsynsmail/A 9281-2025 tillsynsbegäran mail.docx", "A 9281-2025")</f>
        <v/>
      </c>
      <c r="Z17">
        <f>HYPERLINK("https://klasma.github.io/Logging_1496/fåglar/A 9281-2025 prioriterade fågelarter.docx", "A 9281-2025")</f>
        <v/>
      </c>
    </row>
    <row r="18" ht="15" customHeight="1">
      <c r="A18" t="inlineStr">
        <is>
          <t>A 13517-2024</t>
        </is>
      </c>
      <c r="B18" s="1" t="n">
        <v>45387</v>
      </c>
      <c r="C18" s="1" t="n">
        <v>46203</v>
      </c>
      <c r="D18" t="inlineStr">
        <is>
          <t>VÄSTRA GÖTALANDS LÄN</t>
        </is>
      </c>
      <c r="E18" t="inlineStr">
        <is>
          <t>SKÖVDE</t>
        </is>
      </c>
      <c r="G18" t="n">
        <v>4.4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Slåttergubbe
Jordtistel
Klasefibbla
Grönvit nattviol</t>
        </is>
      </c>
      <c r="S18">
        <f>HYPERLINK("https://klasma.github.io/Logging_1496/artfynd/A 13517-2024 artfynd.xlsx", "A 13517-2024")</f>
        <v/>
      </c>
      <c r="T18">
        <f>HYPERLINK("https://klasma.github.io/Logging_1496/kartor/A 13517-2024 karta.png", "A 13517-2024")</f>
        <v/>
      </c>
      <c r="V18">
        <f>HYPERLINK("https://klasma.github.io/Logging_1496/klagomål/A 13517-2024 FSC-klagomål.docx", "A 13517-2024")</f>
        <v/>
      </c>
      <c r="W18">
        <f>HYPERLINK("https://klasma.github.io/Logging_1496/klagomålsmail/A 13517-2024 FSC-klagomål mail.docx", "A 13517-2024")</f>
        <v/>
      </c>
      <c r="X18">
        <f>HYPERLINK("https://klasma.github.io/Logging_1496/tillsyn/A 13517-2024 tillsynsbegäran.docx", "A 13517-2024")</f>
        <v/>
      </c>
      <c r="Y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46203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Strandlummer
Mattlummer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s="1" t="n">
        <v>44804</v>
      </c>
      <c r="C20" s="1" t="n">
        <v>46203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Myskbock
Kråka</t>
        </is>
      </c>
      <c r="S20">
        <f>HYPERLINK("https://klasma.github.io/Logging_1496/artfynd/A 36627-2022 artfynd.xlsx", "A 36627-2022")</f>
        <v/>
      </c>
      <c r="T20">
        <f>HYPERLINK("https://klasma.github.io/Logging_1496/kartor/A 36627-2022 karta.png", "A 36627-2022")</f>
        <v/>
      </c>
      <c r="V20">
        <f>HYPERLINK("https://klasma.github.io/Logging_1496/klagomål/A 36627-2022 FSC-klagomål.docx", "A 36627-2022")</f>
        <v/>
      </c>
      <c r="W20">
        <f>HYPERLINK("https://klasma.github.io/Logging_1496/klagomålsmail/A 36627-2022 FSC-klagomål mail.docx", "A 36627-2022")</f>
        <v/>
      </c>
      <c r="X20">
        <f>HYPERLINK("https://klasma.github.io/Logging_1496/tillsyn/A 36627-2022 tillsynsbegäran.docx", "A 36627-2022")</f>
        <v/>
      </c>
      <c r="Y20">
        <f>HYPERLINK("https://klasma.github.io/Logging_1496/tillsynsmail/A 36627-2022 tillsynsbegäran mail.docx", "A 36627-2022")</f>
        <v/>
      </c>
    </row>
    <row r="21" ht="15" customHeight="1">
      <c r="A21" t="inlineStr">
        <is>
          <t>A 31621-2024</t>
        </is>
      </c>
      <c r="B21" s="1" t="n">
        <v>45506</v>
      </c>
      <c r="C21" s="1" t="n">
        <v>46203</v>
      </c>
      <c r="D21" t="inlineStr">
        <is>
          <t>VÄSTRA GÖTALANDS LÄN</t>
        </is>
      </c>
      <c r="E21" t="inlineStr">
        <is>
          <t>SKÖVDE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Plattsäv
Majviva</t>
        </is>
      </c>
      <c r="S21">
        <f>HYPERLINK("https://klasma.github.io/Logging_1496/artfynd/A 31621-2024 artfynd.xlsx", "A 31621-2024")</f>
        <v/>
      </c>
      <c r="T21">
        <f>HYPERLINK("https://klasma.github.io/Logging_1496/kartor/A 31621-2024 karta.png", "A 31621-2024")</f>
        <v/>
      </c>
      <c r="V21">
        <f>HYPERLINK("https://klasma.github.io/Logging_1496/klagomål/A 31621-2024 FSC-klagomål.docx", "A 31621-2024")</f>
        <v/>
      </c>
      <c r="W21">
        <f>HYPERLINK("https://klasma.github.io/Logging_1496/klagomålsmail/A 31621-2024 FSC-klagomål mail.docx", "A 31621-2024")</f>
        <v/>
      </c>
      <c r="X21">
        <f>HYPERLINK("https://klasma.github.io/Logging_1496/tillsyn/A 31621-2024 tillsynsbegäran.docx", "A 31621-2024")</f>
        <v/>
      </c>
      <c r="Y21">
        <f>HYPERLINK("https://klasma.github.io/Logging_1496/tillsynsmail/A 31621-2024 tillsynsbegäran mail.docx", "A 31621-2024")</f>
        <v/>
      </c>
    </row>
    <row r="22" ht="15" customHeight="1">
      <c r="A22" t="inlineStr">
        <is>
          <t>A 29335-2025</t>
        </is>
      </c>
      <c r="B22" s="1" t="n">
        <v>45824</v>
      </c>
      <c r="C22" s="1" t="n">
        <v>46203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0.7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Fläcknycklar
Lopplummer (aggregat)</t>
        </is>
      </c>
      <c r="S22">
        <f>HYPERLINK("https://klasma.github.io/Logging_1496/artfynd/A 29335-2025 artfynd.xlsx", "A 29335-2025")</f>
        <v/>
      </c>
      <c r="T22">
        <f>HYPERLINK("https://klasma.github.io/Logging_1496/kartor/A 29335-2025 karta.png", "A 29335-2025")</f>
        <v/>
      </c>
      <c r="V22">
        <f>HYPERLINK("https://klasma.github.io/Logging_1496/klagomål/A 29335-2025 FSC-klagomål.docx", "A 29335-2025")</f>
        <v/>
      </c>
      <c r="W22">
        <f>HYPERLINK("https://klasma.github.io/Logging_1496/klagomålsmail/A 29335-2025 FSC-klagomål mail.docx", "A 29335-2025")</f>
        <v/>
      </c>
      <c r="X22">
        <f>HYPERLINK("https://klasma.github.io/Logging_1496/tillsyn/A 29335-2025 tillsynsbegäran.docx", "A 29335-2025")</f>
        <v/>
      </c>
      <c r="Y22">
        <f>HYPERLINK("https://klasma.github.io/Logging_1496/tillsynsmail/A 29335-2025 tillsynsbegäran mail.docx", "A 29335-2025")</f>
        <v/>
      </c>
    </row>
    <row r="23" ht="15" customHeight="1">
      <c r="A23" t="inlineStr">
        <is>
          <t>A 5656-2024</t>
        </is>
      </c>
      <c r="B23" s="1" t="n">
        <v>45334</v>
      </c>
      <c r="C23" s="1" t="n">
        <v>46203</v>
      </c>
      <c r="D23" t="inlineStr">
        <is>
          <t>VÄSTRA GÖTALANDS LÄN</t>
        </is>
      </c>
      <c r="E23" t="inlineStr">
        <is>
          <t>SKÖVDE</t>
        </is>
      </c>
      <c r="G23" t="n">
        <v>5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Stare
Flodsångare
Gulsparv</t>
        </is>
      </c>
      <c r="S23">
        <f>HYPERLINK("https://klasma.github.io/Logging_1496/artfynd/A 5656-2024 artfynd.xlsx", "A 5656-2024")</f>
        <v/>
      </c>
      <c r="T23">
        <f>HYPERLINK("https://klasma.github.io/Logging_1496/kartor/A 5656-2024 karta.png", "A 5656-2024")</f>
        <v/>
      </c>
      <c r="V23">
        <f>HYPERLINK("https://klasma.github.io/Logging_1496/klagomål/A 5656-2024 FSC-klagomål.docx", "A 5656-2024")</f>
        <v/>
      </c>
      <c r="W23">
        <f>HYPERLINK("https://klasma.github.io/Logging_1496/klagomålsmail/A 5656-2024 FSC-klagomål mail.docx", "A 5656-2024")</f>
        <v/>
      </c>
      <c r="X23">
        <f>HYPERLINK("https://klasma.github.io/Logging_1496/tillsyn/A 5656-2024 tillsynsbegäran.docx", "A 5656-2024")</f>
        <v/>
      </c>
      <c r="Y23">
        <f>HYPERLINK("https://klasma.github.io/Logging_1496/tillsynsmail/A 5656-2024 tillsynsbegäran mail.docx", "A 5656-2024")</f>
        <v/>
      </c>
      <c r="Z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s="1" t="n">
        <v>45334</v>
      </c>
      <c r="C24" s="1" t="n">
        <v>46203</v>
      </c>
      <c r="D24" t="inlineStr">
        <is>
          <t>VÄSTRA GÖTALANDS LÄN</t>
        </is>
      </c>
      <c r="E24" t="inlineStr">
        <is>
          <t>SKÖVDE</t>
        </is>
      </c>
      <c r="G24" t="n">
        <v>5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Stare
Flodsångare
Gulsparv</t>
        </is>
      </c>
      <c r="S24">
        <f>HYPERLINK("https://klasma.github.io/Logging_1496/artfynd/A 5656-2024 artfynd.xlsx", "A 5656-2024")</f>
        <v/>
      </c>
      <c r="T24">
        <f>HYPERLINK("https://klasma.github.io/Logging_1496/kartor/A 5656-2024 karta.png", "A 5656-2024")</f>
        <v/>
      </c>
      <c r="V24">
        <f>HYPERLINK("https://klasma.github.io/Logging_1496/klagomål/A 5656-2024 FSC-klagomål.docx", "A 5656-2024")</f>
        <v/>
      </c>
      <c r="W24">
        <f>HYPERLINK("https://klasma.github.io/Logging_1496/klagomålsmail/A 5656-2024 FSC-klagomål mail.docx", "A 5656-2024")</f>
        <v/>
      </c>
      <c r="X24">
        <f>HYPERLINK("https://klasma.github.io/Logging_1496/tillsyn/A 5656-2024 tillsynsbegäran.docx", "A 5656-2024")</f>
        <v/>
      </c>
      <c r="Y24">
        <f>HYPERLINK("https://klasma.github.io/Logging_1496/tillsynsmail/A 5656-2024 tillsynsbegäran mail.docx", "A 5656-2024")</f>
        <v/>
      </c>
      <c r="Z24">
        <f>HYPERLINK("https://klasma.github.io/Logging_1496/fåglar/A 5656-2024 prioriterade fågelarter.docx", "A 5656-2024")</f>
        <v/>
      </c>
    </row>
    <row r="25" ht="15" customHeight="1">
      <c r="A25" t="inlineStr">
        <is>
          <t>A 2579-2023</t>
        </is>
      </c>
      <c r="B25" s="1" t="n">
        <v>44943</v>
      </c>
      <c r="C25" s="1" t="n">
        <v>46203</v>
      </c>
      <c r="D25" t="inlineStr">
        <is>
          <t>VÄSTRA GÖTALANDS LÄN</t>
        </is>
      </c>
      <c r="E25" t="inlineStr">
        <is>
          <t>SKÖVDE</t>
        </is>
      </c>
      <c r="G25" t="n">
        <v>5.3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Skogsknipprot
Svart trolldruva
Fläcknycklar</t>
        </is>
      </c>
      <c r="S25">
        <f>HYPERLINK("https://klasma.github.io/Logging_1496/artfynd/A 2579-2023 artfynd.xlsx", "A 2579-2023")</f>
        <v/>
      </c>
      <c r="T25">
        <f>HYPERLINK("https://klasma.github.io/Logging_1496/kartor/A 2579-2023 karta.png", "A 2579-2023")</f>
        <v/>
      </c>
      <c r="V25">
        <f>HYPERLINK("https://klasma.github.io/Logging_1496/klagomål/A 2579-2023 FSC-klagomål.docx", "A 2579-2023")</f>
        <v/>
      </c>
      <c r="W25">
        <f>HYPERLINK("https://klasma.github.io/Logging_1496/klagomålsmail/A 2579-2023 FSC-klagomål mail.docx", "A 2579-2023")</f>
        <v/>
      </c>
      <c r="X25">
        <f>HYPERLINK("https://klasma.github.io/Logging_1496/tillsyn/A 2579-2023 tillsynsbegäran.docx", "A 2579-2023")</f>
        <v/>
      </c>
      <c r="Y25">
        <f>HYPERLINK("https://klasma.github.io/Logging_1496/tillsynsmail/A 2579-2023 tillsynsbegäran mail.docx", "A 2579-2023")</f>
        <v/>
      </c>
    </row>
    <row r="26" ht="15" customHeight="1">
      <c r="A26" t="inlineStr">
        <is>
          <t>A 39092-2022</t>
        </is>
      </c>
      <c r="B26" s="1" t="n">
        <v>44817</v>
      </c>
      <c r="C26" s="1" t="n">
        <v>46203</v>
      </c>
      <c r="D26" t="inlineStr">
        <is>
          <t>VÄSTRA GÖTALANDS LÄN</t>
        </is>
      </c>
      <c r="E26" t="inlineStr">
        <is>
          <t>SKÖVDE</t>
        </is>
      </c>
      <c r="G26" t="n">
        <v>3.1</v>
      </c>
      <c r="H26" t="n">
        <v>0</v>
      </c>
      <c r="I26" t="n">
        <v>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Sårläka
Strutbräken</t>
        </is>
      </c>
      <c r="S26">
        <f>HYPERLINK("https://klasma.github.io/Logging_1496/artfynd/A 39092-2022 artfynd.xlsx", "A 39092-2022")</f>
        <v/>
      </c>
      <c r="T26">
        <f>HYPERLINK("https://klasma.github.io/Logging_1496/kartor/A 39092-2022 karta.png", "A 39092-2022")</f>
        <v/>
      </c>
      <c r="V26">
        <f>HYPERLINK("https://klasma.github.io/Logging_1496/klagomål/A 39092-2022 FSC-klagomål.docx", "A 39092-2022")</f>
        <v/>
      </c>
      <c r="W26">
        <f>HYPERLINK("https://klasma.github.io/Logging_1496/klagomålsmail/A 39092-2022 FSC-klagomål mail.docx", "A 39092-2022")</f>
        <v/>
      </c>
      <c r="X26">
        <f>HYPERLINK("https://klasma.github.io/Logging_1496/tillsyn/A 39092-2022 tillsynsbegäran.docx", "A 39092-2022")</f>
        <v/>
      </c>
      <c r="Y26">
        <f>HYPERLINK("https://klasma.github.io/Logging_1496/tillsynsmail/A 39092-2022 tillsynsbegäran mail.docx", "A 39092-2022")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46203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Borsttåg
Ängsstarr
Purpurknipprot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47429-2021</t>
        </is>
      </c>
      <c r="B28" s="1" t="n">
        <v>44447</v>
      </c>
      <c r="C28" s="1" t="n">
        <v>46203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Tibast</t>
        </is>
      </c>
      <c r="S28">
        <f>HYPERLINK("https://klasma.github.io/Logging_1496/artfynd/A 47429-2021 artfynd.xlsx", "A 47429-2021")</f>
        <v/>
      </c>
      <c r="T28">
        <f>HYPERLINK("https://klasma.github.io/Logging_1496/kartor/A 47429-2021 karta.png", "A 47429-2021")</f>
        <v/>
      </c>
      <c r="V28">
        <f>HYPERLINK("https://klasma.github.io/Logging_1496/klagomål/A 47429-2021 FSC-klagomål.docx", "A 47429-2021")</f>
        <v/>
      </c>
      <c r="W28">
        <f>HYPERLINK("https://klasma.github.io/Logging_1496/klagomålsmail/A 47429-2021 FSC-klagomål mail.docx", "A 47429-2021")</f>
        <v/>
      </c>
      <c r="X28">
        <f>HYPERLINK("https://klasma.github.io/Logging_1496/tillsyn/A 47429-2021 tillsynsbegäran.docx", "A 47429-2021")</f>
        <v/>
      </c>
      <c r="Y28">
        <f>HYPERLINK("https://klasma.github.io/Logging_1496/tillsynsmail/A 47429-2021 tillsynsbegäran mail.docx", "A 47429-2021")</f>
        <v/>
      </c>
    </row>
    <row r="29" ht="15" customHeight="1">
      <c r="A29" t="inlineStr">
        <is>
          <t>A 58467-2024</t>
        </is>
      </c>
      <c r="B29" s="1" t="n">
        <v>45635</v>
      </c>
      <c r="C29" s="1" t="n">
        <v>46203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Sommarfibbla
Mattlummer</t>
        </is>
      </c>
      <c r="S29">
        <f>HYPERLINK("https://klasma.github.io/Logging_1496/artfynd/A 58467-2024 artfynd.xlsx", "A 58467-2024")</f>
        <v/>
      </c>
      <c r="T29">
        <f>HYPERLINK("https://klasma.github.io/Logging_1496/kartor/A 58467-2024 karta.png", "A 58467-2024")</f>
        <v/>
      </c>
      <c r="V29">
        <f>HYPERLINK("https://klasma.github.io/Logging_1496/klagomål/A 58467-2024 FSC-klagomål.docx", "A 58467-2024")</f>
        <v/>
      </c>
      <c r="W29">
        <f>HYPERLINK("https://klasma.github.io/Logging_1496/klagomålsmail/A 58467-2024 FSC-klagomål mail.docx", "A 58467-2024")</f>
        <v/>
      </c>
      <c r="X29">
        <f>HYPERLINK("https://klasma.github.io/Logging_1496/tillsyn/A 58467-2024 tillsynsbegäran.docx", "A 58467-2024")</f>
        <v/>
      </c>
      <c r="Y29">
        <f>HYPERLINK("https://klasma.github.io/Logging_1496/tillsynsmail/A 58467-2024 tillsynsbegäran mail.docx", "A 58467-2024")</f>
        <v/>
      </c>
    </row>
    <row r="30" ht="15" customHeight="1">
      <c r="A30" t="inlineStr">
        <is>
          <t>A 22268-2025</t>
        </is>
      </c>
      <c r="B30" s="1" t="n">
        <v>45785</v>
      </c>
      <c r="C30" s="1" t="n">
        <v>46203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HYPERLINK("https://klasma.github.io/Logging_1496/artfynd/A 22268-2025 artfynd.xlsx", "A 22268-2025")</f>
        <v/>
      </c>
      <c r="T30">
        <f>HYPERLINK("https://klasma.github.io/Logging_1496/kartor/A 22268-2025 karta.png", "A 22268-2025")</f>
        <v/>
      </c>
      <c r="U30">
        <f>HYPERLINK("https://klasma.github.io/Logging_1496/knärot/A 22268-2025 karta knärot.png", "A 22268-2025")</f>
        <v/>
      </c>
      <c r="V30">
        <f>HYPERLINK("https://klasma.github.io/Logging_1496/klagomål/A 22268-2025 FSC-klagomål.docx", "A 22268-2025")</f>
        <v/>
      </c>
      <c r="W30">
        <f>HYPERLINK("https://klasma.github.io/Logging_1496/klagomålsmail/A 22268-2025 FSC-klagomål mail.docx", "A 22268-2025")</f>
        <v/>
      </c>
      <c r="X30">
        <f>HYPERLINK("https://klasma.github.io/Logging_1496/tillsyn/A 22268-2025 tillsynsbegäran.docx", "A 22268-2025")</f>
        <v/>
      </c>
      <c r="Y30">
        <f>HYPERLINK("https://klasma.github.io/Logging_1496/tillsynsmail/A 22268-2025 tillsynsbegäran mail.docx", "A 22268-2025")</f>
        <v/>
      </c>
    </row>
    <row r="31" ht="15" customHeight="1">
      <c r="A31" t="inlineStr">
        <is>
          <t>A 14964-2025</t>
        </is>
      </c>
      <c r="B31" s="1" t="n">
        <v>45743</v>
      </c>
      <c r="C31" s="1" t="n">
        <v>46203</v>
      </c>
      <c r="D31" t="inlineStr">
        <is>
          <t>VÄSTRA GÖTALANDS LÄN</t>
        </is>
      </c>
      <c r="E31" t="inlineStr">
        <is>
          <t>SKÖVDE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Skogsalm
Gullpudra</t>
        </is>
      </c>
      <c r="S31">
        <f>HYPERLINK("https://klasma.github.io/Logging_1496/artfynd/A 14964-2025 artfynd.xlsx", "A 14964-2025")</f>
        <v/>
      </c>
      <c r="T31">
        <f>HYPERLINK("https://klasma.github.io/Logging_1496/kartor/A 14964-2025 karta.png", "A 14964-2025")</f>
        <v/>
      </c>
      <c r="V31">
        <f>HYPERLINK("https://klasma.github.io/Logging_1496/klagomål/A 14964-2025 FSC-klagomål.docx", "A 14964-2025")</f>
        <v/>
      </c>
      <c r="W31">
        <f>HYPERLINK("https://klasma.github.io/Logging_1496/klagomålsmail/A 14964-2025 FSC-klagomål mail.docx", "A 14964-2025")</f>
        <v/>
      </c>
      <c r="X31">
        <f>HYPERLINK("https://klasma.github.io/Logging_1496/tillsyn/A 14964-2025 tillsynsbegäran.docx", "A 14964-2025")</f>
        <v/>
      </c>
      <c r="Y31">
        <f>HYPERLINK("https://klasma.github.io/Logging_1496/tillsynsmail/A 14964-2025 tillsynsbegäran mail.docx", "A 14964-2025")</f>
        <v/>
      </c>
    </row>
    <row r="32" ht="15" customHeight="1">
      <c r="A32" t="inlineStr">
        <is>
          <t>A 42017-2025</t>
        </is>
      </c>
      <c r="B32" s="1" t="n">
        <v>45903</v>
      </c>
      <c r="C32" s="1" t="n">
        <v>46203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Borsttåg
Mattlummer</t>
        </is>
      </c>
      <c r="S32">
        <f>HYPERLINK("https://klasma.github.io/Logging_1496/artfynd/A 42017-2025 artfynd.xlsx", "A 42017-2025")</f>
        <v/>
      </c>
      <c r="T32">
        <f>HYPERLINK("https://klasma.github.io/Logging_1496/kartor/A 42017-2025 karta.png", "A 42017-2025")</f>
        <v/>
      </c>
      <c r="V32">
        <f>HYPERLINK("https://klasma.github.io/Logging_1496/klagomål/A 42017-2025 FSC-klagomål.docx", "A 42017-2025")</f>
        <v/>
      </c>
      <c r="W32">
        <f>HYPERLINK("https://klasma.github.io/Logging_1496/klagomålsmail/A 42017-2025 FSC-klagomål mail.docx", "A 42017-2025")</f>
        <v/>
      </c>
      <c r="X32">
        <f>HYPERLINK("https://klasma.github.io/Logging_1496/tillsyn/A 42017-2025 tillsynsbegäran.docx", "A 42017-2025")</f>
        <v/>
      </c>
      <c r="Y32">
        <f>HYPERLINK("https://klasma.github.io/Logging_1496/tillsynsmail/A 42017-2025 tillsynsbegäran mail.docx", "A 42017-2025")</f>
        <v/>
      </c>
    </row>
    <row r="33" ht="15" customHeight="1">
      <c r="A33" t="inlineStr">
        <is>
          <t>A 24383-2025</t>
        </is>
      </c>
      <c r="B33" s="1" t="n">
        <v>45797</v>
      </c>
      <c r="C33" s="1" t="n">
        <v>46203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Mindre hackspett
Åkergroda</t>
        </is>
      </c>
      <c r="S33">
        <f>HYPERLINK("https://klasma.github.io/Logging_1496/artfynd/A 24383-2025 artfynd.xlsx", "A 24383-2025")</f>
        <v/>
      </c>
      <c r="T33">
        <f>HYPERLINK("https://klasma.github.io/Logging_1496/kartor/A 24383-2025 karta.png", "A 24383-2025")</f>
        <v/>
      </c>
      <c r="V33">
        <f>HYPERLINK("https://klasma.github.io/Logging_1496/klagomål/A 24383-2025 FSC-klagomål.docx", "A 24383-2025")</f>
        <v/>
      </c>
      <c r="W33">
        <f>HYPERLINK("https://klasma.github.io/Logging_1496/klagomålsmail/A 24383-2025 FSC-klagomål mail.docx", "A 24383-2025")</f>
        <v/>
      </c>
      <c r="X33">
        <f>HYPERLINK("https://klasma.github.io/Logging_1496/tillsyn/A 24383-2025 tillsynsbegäran.docx", "A 24383-2025")</f>
        <v/>
      </c>
      <c r="Y33">
        <f>HYPERLINK("https://klasma.github.io/Logging_1496/tillsynsmail/A 24383-2025 tillsynsbegäran mail.docx", "A 24383-2025")</f>
        <v/>
      </c>
      <c r="Z33">
        <f>HYPERLINK("https://klasma.github.io/Logging_1496/fåglar/A 24383-2025 prioriterade fågelarter.docx", "A 24383-2025")</f>
        <v/>
      </c>
    </row>
    <row r="34" ht="15" customHeight="1">
      <c r="A34" t="inlineStr">
        <is>
          <t>A 55642-2025</t>
        </is>
      </c>
      <c r="B34" s="1" t="n">
        <v>45972</v>
      </c>
      <c r="C34" s="1" t="n">
        <v>46203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Grönvit nattviol</t>
        </is>
      </c>
      <c r="S34">
        <f>HYPERLINK("https://klasma.github.io/Logging_1496/artfynd/A 55642-2025 artfynd.xlsx", "A 55642-2025")</f>
        <v/>
      </c>
      <c r="T34">
        <f>HYPERLINK("https://klasma.github.io/Logging_1496/kartor/A 55642-2025 karta.png", "A 55642-2025")</f>
        <v/>
      </c>
      <c r="V34">
        <f>HYPERLINK("https://klasma.github.io/Logging_1496/klagomål/A 55642-2025 FSC-klagomål.docx", "A 55642-2025")</f>
        <v/>
      </c>
      <c r="W34">
        <f>HYPERLINK("https://klasma.github.io/Logging_1496/klagomålsmail/A 55642-2025 FSC-klagomål mail.docx", "A 55642-2025")</f>
        <v/>
      </c>
      <c r="X34">
        <f>HYPERLINK("https://klasma.github.io/Logging_1496/tillsyn/A 55642-2025 tillsynsbegäran.docx", "A 55642-2025")</f>
        <v/>
      </c>
      <c r="Y34">
        <f>HYPERLINK("https://klasma.github.io/Logging_1496/tillsynsmail/A 55642-2025 tillsynsbegäran mail.docx", "A 55642-2025")</f>
        <v/>
      </c>
    </row>
    <row r="35" ht="15" customHeight="1">
      <c r="A35" t="inlineStr">
        <is>
          <t>A 25093-2025</t>
        </is>
      </c>
      <c r="B35" s="1" t="n">
        <v>45800</v>
      </c>
      <c r="C35" s="1" t="n">
        <v>46203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Ask
Skogsalm</t>
        </is>
      </c>
      <c r="S35">
        <f>HYPERLINK("https://klasma.github.io/Logging_1496/artfynd/A 25093-2025 artfynd.xlsx", "A 25093-2025")</f>
        <v/>
      </c>
      <c r="T35">
        <f>HYPERLINK("https://klasma.github.io/Logging_1496/kartor/A 25093-2025 karta.png", "A 25093-2025")</f>
        <v/>
      </c>
      <c r="V35">
        <f>HYPERLINK("https://klasma.github.io/Logging_1496/klagomål/A 25093-2025 FSC-klagomål.docx", "A 25093-2025")</f>
        <v/>
      </c>
      <c r="W35">
        <f>HYPERLINK("https://klasma.github.io/Logging_1496/klagomålsmail/A 25093-2025 FSC-klagomål mail.docx", "A 25093-2025")</f>
        <v/>
      </c>
      <c r="X35">
        <f>HYPERLINK("https://klasma.github.io/Logging_1496/tillsyn/A 25093-2025 tillsynsbegäran.docx", "A 25093-2025")</f>
        <v/>
      </c>
      <c r="Y35">
        <f>HYPERLINK("https://klasma.github.io/Logging_1496/tillsynsmail/A 25093-2025 tillsynsbegäran mail.docx", "A 25093-2025")</f>
        <v/>
      </c>
    </row>
    <row r="36" ht="15" customHeight="1">
      <c r="A36" t="inlineStr">
        <is>
          <t>A 27109-2024</t>
        </is>
      </c>
      <c r="B36" s="1" t="n">
        <v>45471</v>
      </c>
      <c r="C36" s="1" t="n">
        <v>46203</v>
      </c>
      <c r="D36" t="inlineStr">
        <is>
          <t>VÄSTRA GÖTALANDS LÄN</t>
        </is>
      </c>
      <c r="E36" t="inlineStr">
        <is>
          <t>SKÖVDE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Jungfrulin</t>
        </is>
      </c>
      <c r="S36">
        <f>HYPERLINK("https://klasma.github.io/Logging_1496/artfynd/A 27109-2024 artfynd.xlsx", "A 27109-2024")</f>
        <v/>
      </c>
      <c r="T36">
        <f>HYPERLINK("https://klasma.github.io/Logging_1496/kartor/A 27109-2024 karta.png", "A 27109-2024")</f>
        <v/>
      </c>
      <c r="V36">
        <f>HYPERLINK("https://klasma.github.io/Logging_1496/klagomål/A 27109-2024 FSC-klagomål.docx", "A 27109-2024")</f>
        <v/>
      </c>
      <c r="W36">
        <f>HYPERLINK("https://klasma.github.io/Logging_1496/klagomålsmail/A 27109-2024 FSC-klagomål mail.docx", "A 27109-2024")</f>
        <v/>
      </c>
      <c r="X36">
        <f>HYPERLINK("https://klasma.github.io/Logging_1496/tillsyn/A 27109-2024 tillsynsbegäran.docx", "A 27109-2024")</f>
        <v/>
      </c>
      <c r="Y36">
        <f>HYPERLINK("https://klasma.github.io/Logging_1496/tillsynsmail/A 27109-2024 tillsynsbegäran mail.docx", "A 27109-2024")</f>
        <v/>
      </c>
    </row>
    <row r="37" ht="15" customHeight="1">
      <c r="A37" t="inlineStr">
        <is>
          <t>A 60172-2021</t>
        </is>
      </c>
      <c r="B37" s="1" t="n">
        <v>44495</v>
      </c>
      <c r="C37" s="1" t="n">
        <v>46203</v>
      </c>
      <c r="D37" t="inlineStr">
        <is>
          <t>VÄSTRA GÖTALANDS LÄN</t>
        </is>
      </c>
      <c r="E37" t="inlineStr">
        <is>
          <t>SKÖVDE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Fläcknycklar</t>
        </is>
      </c>
      <c r="S37">
        <f>HYPERLINK("https://klasma.github.io/Logging_1496/artfynd/A 60172-2021 artfynd.xlsx", "A 60172-2021")</f>
        <v/>
      </c>
      <c r="T37">
        <f>HYPERLINK("https://klasma.github.io/Logging_1496/kartor/A 60172-2021 karta.png", "A 60172-2021")</f>
        <v/>
      </c>
      <c r="V37">
        <f>HYPERLINK("https://klasma.github.io/Logging_1496/klagomål/A 60172-2021 FSC-klagomål.docx", "A 60172-2021")</f>
        <v/>
      </c>
      <c r="W37">
        <f>HYPERLINK("https://klasma.github.io/Logging_1496/klagomålsmail/A 60172-2021 FSC-klagomål mail.docx", "A 60172-2021")</f>
        <v/>
      </c>
      <c r="X37">
        <f>HYPERLINK("https://klasma.github.io/Logging_1496/tillsyn/A 60172-2021 tillsynsbegäran.docx", "A 60172-2021")</f>
        <v/>
      </c>
      <c r="Y37">
        <f>HYPERLINK("https://klasma.github.io/Logging_1496/tillsynsmail/A 60172-2021 tillsynsbegäran mail.docx", "A 60172-2021")</f>
        <v/>
      </c>
    </row>
    <row r="38" ht="15" customHeight="1">
      <c r="A38" t="inlineStr">
        <is>
          <t>A 24996-2025</t>
        </is>
      </c>
      <c r="B38" s="1" t="n">
        <v>45799</v>
      </c>
      <c r="C38" s="1" t="n">
        <v>46203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Granbronssopp
Fjällig taggsvamp s.str.</t>
        </is>
      </c>
      <c r="S38">
        <f>HYPERLINK("https://klasma.github.io/Logging_1496/artfynd/A 24996-2025 artfynd.xlsx", "A 24996-2025")</f>
        <v/>
      </c>
      <c r="T38">
        <f>HYPERLINK("https://klasma.github.io/Logging_1496/kartor/A 24996-2025 karta.png", "A 24996-2025")</f>
        <v/>
      </c>
      <c r="V38">
        <f>HYPERLINK("https://klasma.github.io/Logging_1496/klagomål/A 24996-2025 FSC-klagomål.docx", "A 24996-2025")</f>
        <v/>
      </c>
      <c r="W38">
        <f>HYPERLINK("https://klasma.github.io/Logging_1496/klagomålsmail/A 24996-2025 FSC-klagomål mail.docx", "A 24996-2025")</f>
        <v/>
      </c>
      <c r="X38">
        <f>HYPERLINK("https://klasma.github.io/Logging_1496/tillsyn/A 24996-2025 tillsynsbegäran.docx", "A 24996-2025")</f>
        <v/>
      </c>
      <c r="Y38">
        <f>HYPERLINK("https://klasma.github.io/Logging_1496/tillsynsmail/A 24996-2025 tillsynsbegäran mail.docx", "A 24996-2025")</f>
        <v/>
      </c>
    </row>
    <row r="39" ht="15" customHeight="1">
      <c r="A39" t="inlineStr">
        <is>
          <t>A 26907-2026</t>
        </is>
      </c>
      <c r="B39" s="1" t="n">
        <v>46185</v>
      </c>
      <c r="C39" s="1" t="n">
        <v>46203</v>
      </c>
      <c r="D39" t="inlineStr">
        <is>
          <t>VÄSTRA GÖTALANDS LÄN</t>
        </is>
      </c>
      <c r="E39" t="inlineStr">
        <is>
          <t>SKÖVDE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Ask
Skogsalm</t>
        </is>
      </c>
      <c r="S39">
        <f>HYPERLINK("https://klasma.github.io/Logging_1496/artfynd/A 26907-2026 artfynd.xlsx", "A 26907-2026")</f>
        <v/>
      </c>
      <c r="T39">
        <f>HYPERLINK("https://klasma.github.io/Logging_1496/kartor/A 26907-2026 karta.png", "A 26907-2026")</f>
        <v/>
      </c>
      <c r="V39">
        <f>HYPERLINK("https://klasma.github.io/Logging_1496/klagomål/A 26907-2026 FSC-klagomål.docx", "A 26907-2026")</f>
        <v/>
      </c>
      <c r="W39">
        <f>HYPERLINK("https://klasma.github.io/Logging_1496/klagomålsmail/A 26907-2026 FSC-klagomål mail.docx", "A 26907-2026")</f>
        <v/>
      </c>
      <c r="X39">
        <f>HYPERLINK("https://klasma.github.io/Logging_1496/tillsyn/A 26907-2026 tillsynsbegäran.docx", "A 26907-2026")</f>
        <v/>
      </c>
      <c r="Y39">
        <f>HYPERLINK("https://klasma.github.io/Logging_1496/tillsynsmail/A 26907-2026 tillsynsbegäran mail.docx", "A 26907-2026")</f>
        <v/>
      </c>
    </row>
    <row r="40" ht="15" customHeight="1">
      <c r="A40" t="inlineStr">
        <is>
          <t>A 10610-2023</t>
        </is>
      </c>
      <c r="B40" s="1" t="n">
        <v>44988</v>
      </c>
      <c r="C40" s="1" t="n">
        <v>46203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Kommuner</t>
        </is>
      </c>
      <c r="G40" t="n">
        <v>8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Vanlig groda
Revlummer</t>
        </is>
      </c>
      <c r="S40">
        <f>HYPERLINK("https://klasma.github.io/Logging_1496/artfynd/A 10610-2023 artfynd.xlsx", "A 10610-2023")</f>
        <v/>
      </c>
      <c r="T40">
        <f>HYPERLINK("https://klasma.github.io/Logging_1496/kartor/A 10610-2023 karta.png", "A 10610-2023")</f>
        <v/>
      </c>
      <c r="V40">
        <f>HYPERLINK("https://klasma.github.io/Logging_1496/klagomål/A 10610-2023 FSC-klagomål.docx", "A 10610-2023")</f>
        <v/>
      </c>
      <c r="W40">
        <f>HYPERLINK("https://klasma.github.io/Logging_1496/klagomålsmail/A 10610-2023 FSC-klagomål mail.docx", "A 10610-2023")</f>
        <v/>
      </c>
      <c r="X40">
        <f>HYPERLINK("https://klasma.github.io/Logging_1496/tillsyn/A 10610-2023 tillsynsbegäran.docx", "A 10610-2023")</f>
        <v/>
      </c>
      <c r="Y40">
        <f>HYPERLINK("https://klasma.github.io/Logging_1496/tillsynsmail/A 10610-2023 tillsynsbegäran mail.docx", "A 10610-2023")</f>
        <v/>
      </c>
    </row>
    <row r="41" ht="15" customHeight="1">
      <c r="A41" t="inlineStr">
        <is>
          <t>A 29222-2022</t>
        </is>
      </c>
      <c r="B41" s="1" t="n">
        <v>44750</v>
      </c>
      <c r="C41" s="1" t="n">
        <v>46203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Kommuner</t>
        </is>
      </c>
      <c r="G41" t="n">
        <v>1.6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Lundbräsma
Strutbräken</t>
        </is>
      </c>
      <c r="S41">
        <f>HYPERLINK("https://klasma.github.io/Logging_1496/artfynd/A 29222-2022 artfynd.xlsx", "A 29222-2022")</f>
        <v/>
      </c>
      <c r="T41">
        <f>HYPERLINK("https://klasma.github.io/Logging_1496/kartor/A 29222-2022 karta.png", "A 29222-2022")</f>
        <v/>
      </c>
      <c r="V41">
        <f>HYPERLINK("https://klasma.github.io/Logging_1496/klagomål/A 29222-2022 FSC-klagomål.docx", "A 29222-2022")</f>
        <v/>
      </c>
      <c r="W41">
        <f>HYPERLINK("https://klasma.github.io/Logging_1496/klagomålsmail/A 29222-2022 FSC-klagomål mail.docx", "A 29222-2022")</f>
        <v/>
      </c>
      <c r="X41">
        <f>HYPERLINK("https://klasma.github.io/Logging_1496/tillsyn/A 29222-2022 tillsynsbegäran.docx", "A 29222-2022")</f>
        <v/>
      </c>
      <c r="Y41">
        <f>HYPERLINK("https://klasma.github.io/Logging_1496/tillsynsmail/A 29222-2022 tillsynsbegäran mail.docx", "A 29222-2022")</f>
        <v/>
      </c>
    </row>
    <row r="42" ht="15" customHeight="1">
      <c r="A42" t="inlineStr">
        <is>
          <t>A 39787-2021</t>
        </is>
      </c>
      <c r="B42" s="1" t="n">
        <v>44417</v>
      </c>
      <c r="C42" s="1" t="n">
        <v>46203</v>
      </c>
      <c r="D42" t="inlineStr">
        <is>
          <t>VÄSTRA GÖTALANDS LÄN</t>
        </is>
      </c>
      <c r="E42" t="inlineStr">
        <is>
          <t>SKÖVDE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Gullpudra</t>
        </is>
      </c>
      <c r="S42">
        <f>HYPERLINK("https://klasma.github.io/Logging_1496/artfynd/A 39787-2021 artfynd.xlsx", "A 39787-2021")</f>
        <v/>
      </c>
      <c r="T42">
        <f>HYPERLINK("https://klasma.github.io/Logging_1496/kartor/A 39787-2021 karta.png", "A 39787-2021")</f>
        <v/>
      </c>
      <c r="V42">
        <f>HYPERLINK("https://klasma.github.io/Logging_1496/klagomål/A 39787-2021 FSC-klagomål.docx", "A 39787-2021")</f>
        <v/>
      </c>
      <c r="W42">
        <f>HYPERLINK("https://klasma.github.io/Logging_1496/klagomålsmail/A 39787-2021 FSC-klagomål mail.docx", "A 39787-2021")</f>
        <v/>
      </c>
      <c r="X42">
        <f>HYPERLINK("https://klasma.github.io/Logging_1496/tillsyn/A 39787-2021 tillsynsbegäran.docx", "A 39787-2021")</f>
        <v/>
      </c>
      <c r="Y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s="1" t="n">
        <v>44834</v>
      </c>
      <c r="C43" s="1" t="n">
        <v>46203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HYPERLINK("https://klasma.github.io/Logging_1496/artfynd/A 43568-2022 artfynd.xlsx", "A 43568-2022")</f>
        <v/>
      </c>
      <c r="T43">
        <f>HYPERLINK("https://klasma.github.io/Logging_1496/kartor/A 43568-2022 karta.png", "A 43568-2022")</f>
        <v/>
      </c>
      <c r="V43">
        <f>HYPERLINK("https://klasma.github.io/Logging_1496/klagomål/A 43568-2022 FSC-klagomål.docx", "A 43568-2022")</f>
        <v/>
      </c>
      <c r="W43">
        <f>HYPERLINK("https://klasma.github.io/Logging_1496/klagomålsmail/A 43568-2022 FSC-klagomål mail.docx", "A 43568-2022")</f>
        <v/>
      </c>
      <c r="X43">
        <f>HYPERLINK("https://klasma.github.io/Logging_1496/tillsyn/A 43568-2022 tillsynsbegäran.docx", "A 43568-2022")</f>
        <v/>
      </c>
      <c r="Y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s="1" t="n">
        <v>44475</v>
      </c>
      <c r="C44" s="1" t="n">
        <v>46203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HYPERLINK("https://klasma.github.io/Logging_1496/artfynd/A 55575-2021 artfynd.xlsx", "A 55575-2021")</f>
        <v/>
      </c>
      <c r="T44">
        <f>HYPERLINK("https://klasma.github.io/Logging_1496/kartor/A 55575-2021 karta.png", "A 55575-2021")</f>
        <v/>
      </c>
      <c r="V44">
        <f>HYPERLINK("https://klasma.github.io/Logging_1496/klagomål/A 55575-2021 FSC-klagomål.docx", "A 55575-2021")</f>
        <v/>
      </c>
      <c r="W44">
        <f>HYPERLINK("https://klasma.github.io/Logging_1496/klagomålsmail/A 55575-2021 FSC-klagomål mail.docx", "A 55575-2021")</f>
        <v/>
      </c>
      <c r="X44">
        <f>HYPERLINK("https://klasma.github.io/Logging_1496/tillsyn/A 55575-2021 tillsynsbegäran.docx", "A 55575-2021")</f>
        <v/>
      </c>
      <c r="Y44">
        <f>HYPERLINK("https://klasma.github.io/Logging_1496/tillsynsmail/A 55575-2021 tillsynsbegäran mail.docx", "A 55575-2021")</f>
        <v/>
      </c>
    </row>
    <row r="45" ht="15" customHeight="1">
      <c r="A45" t="inlineStr">
        <is>
          <t>A 47869-2025</t>
        </is>
      </c>
      <c r="B45" s="1" t="n">
        <v>45932</v>
      </c>
      <c r="C45" s="1" t="n">
        <v>46203</v>
      </c>
      <c r="D45" t="inlineStr">
        <is>
          <t>VÄSTRA GÖTALANDS LÄN</t>
        </is>
      </c>
      <c r="E45" t="inlineStr">
        <is>
          <t>SKÖVDE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Backmåra</t>
        </is>
      </c>
      <c r="S45">
        <f>HYPERLINK("https://klasma.github.io/Logging_1496/artfynd/A 47869-2025 artfynd.xlsx", "A 47869-2025")</f>
        <v/>
      </c>
      <c r="T45">
        <f>HYPERLINK("https://klasma.github.io/Logging_1496/kartor/A 47869-2025 karta.png", "A 47869-2025")</f>
        <v/>
      </c>
      <c r="V45">
        <f>HYPERLINK("https://klasma.github.io/Logging_1496/klagomål/A 47869-2025 FSC-klagomål.docx", "A 47869-2025")</f>
        <v/>
      </c>
      <c r="W45">
        <f>HYPERLINK("https://klasma.github.io/Logging_1496/klagomålsmail/A 47869-2025 FSC-klagomål mail.docx", "A 47869-2025")</f>
        <v/>
      </c>
      <c r="X45">
        <f>HYPERLINK("https://klasma.github.io/Logging_1496/tillsyn/A 47869-2025 tillsynsbegäran.docx", "A 47869-2025")</f>
        <v/>
      </c>
      <c r="Y45">
        <f>HYPERLINK("https://klasma.github.io/Logging_1496/tillsynsmail/A 47869-2025 tillsynsbegäran mail.docx", "A 47869-2025")</f>
        <v/>
      </c>
    </row>
    <row r="46" ht="15" customHeight="1">
      <c r="A46" t="inlineStr">
        <is>
          <t>A 3948-2024</t>
        </is>
      </c>
      <c r="B46" s="1" t="n">
        <v>45322</v>
      </c>
      <c r="C46" s="1" t="n">
        <v>46203</v>
      </c>
      <c r="D46" t="inlineStr">
        <is>
          <t>VÄSTRA GÖTALANDS LÄN</t>
        </is>
      </c>
      <c r="E46" t="inlineStr">
        <is>
          <t>SKÖVDE</t>
        </is>
      </c>
      <c r="G46" t="n">
        <v>6.6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HYPERLINK("https://klasma.github.io/Logging_1496/artfynd/A 3948-2024 artfynd.xlsx", "A 3948-2024")</f>
        <v/>
      </c>
      <c r="T46">
        <f>HYPERLINK("https://klasma.github.io/Logging_1496/kartor/A 3948-2024 karta.png", "A 3948-2024")</f>
        <v/>
      </c>
      <c r="V46">
        <f>HYPERLINK("https://klasma.github.io/Logging_1496/klagomål/A 3948-2024 FSC-klagomål.docx", "A 3948-2024")</f>
        <v/>
      </c>
      <c r="W46">
        <f>HYPERLINK("https://klasma.github.io/Logging_1496/klagomålsmail/A 3948-2024 FSC-klagomål mail.docx", "A 3948-2024")</f>
        <v/>
      </c>
      <c r="X46">
        <f>HYPERLINK("https://klasma.github.io/Logging_1496/tillsyn/A 3948-2024 tillsynsbegäran.docx", "A 3948-2024")</f>
        <v/>
      </c>
      <c r="Y46">
        <f>HYPERLINK("https://klasma.github.io/Logging_1496/tillsynsmail/A 3948-2024 tillsynsbegäran mail.docx", "A 3948-2024")</f>
        <v/>
      </c>
    </row>
    <row r="47" ht="15" customHeight="1">
      <c r="A47" t="inlineStr">
        <is>
          <t>A 26712-2025</t>
        </is>
      </c>
      <c r="B47" s="1" t="n">
        <v>45810</v>
      </c>
      <c r="C47" s="1" t="n">
        <v>46203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HYPERLINK("https://klasma.github.io/Logging_1496/artfynd/A 26712-2025 artfynd.xlsx", "A 26712-2025")</f>
        <v/>
      </c>
      <c r="T47">
        <f>HYPERLINK("https://klasma.github.io/Logging_1496/kartor/A 26712-2025 karta.png", "A 26712-2025")</f>
        <v/>
      </c>
      <c r="V47">
        <f>HYPERLINK("https://klasma.github.io/Logging_1496/klagomål/A 26712-2025 FSC-klagomål.docx", "A 26712-2025")</f>
        <v/>
      </c>
      <c r="W47">
        <f>HYPERLINK("https://klasma.github.io/Logging_1496/klagomålsmail/A 26712-2025 FSC-klagomål mail.docx", "A 26712-2025")</f>
        <v/>
      </c>
      <c r="X47">
        <f>HYPERLINK("https://klasma.github.io/Logging_1496/tillsyn/A 26712-2025 tillsynsbegäran.docx", "A 26712-2025")</f>
        <v/>
      </c>
      <c r="Y47">
        <f>HYPERLINK("https://klasma.github.io/Logging_1496/tillsynsmail/A 26712-2025 tillsynsbegäran mail.docx", "A 26712-2025")</f>
        <v/>
      </c>
    </row>
    <row r="48" ht="15" customHeight="1">
      <c r="A48" t="inlineStr">
        <is>
          <t>A 4464-2026</t>
        </is>
      </c>
      <c r="B48" s="1" t="n">
        <v>46045</v>
      </c>
      <c r="C48" s="1" t="n">
        <v>46203</v>
      </c>
      <c r="D48" t="inlineStr">
        <is>
          <t>VÄSTRA GÖTALANDS LÄN</t>
        </is>
      </c>
      <c r="E48" t="inlineStr">
        <is>
          <t>SKÖVDE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Myskmadra</t>
        </is>
      </c>
      <c r="S48">
        <f>HYPERLINK("https://klasma.github.io/Logging_1496/artfynd/A 4464-2026 artfynd.xlsx", "A 4464-2026")</f>
        <v/>
      </c>
      <c r="T48">
        <f>HYPERLINK("https://klasma.github.io/Logging_1496/kartor/A 4464-2026 karta.png", "A 4464-2026")</f>
        <v/>
      </c>
      <c r="V48">
        <f>HYPERLINK("https://klasma.github.io/Logging_1496/klagomål/A 4464-2026 FSC-klagomål.docx", "A 4464-2026")</f>
        <v/>
      </c>
      <c r="W48">
        <f>HYPERLINK("https://klasma.github.io/Logging_1496/klagomålsmail/A 4464-2026 FSC-klagomål mail.docx", "A 4464-2026")</f>
        <v/>
      </c>
      <c r="X48">
        <f>HYPERLINK("https://klasma.github.io/Logging_1496/tillsyn/A 4464-2026 tillsynsbegäran.docx", "A 4464-2026")</f>
        <v/>
      </c>
      <c r="Y48">
        <f>HYPERLINK("https://klasma.github.io/Logging_1496/tillsynsmail/A 4464-2026 tillsynsbegäran mail.docx", "A 4464-2026")</f>
        <v/>
      </c>
    </row>
    <row r="49" ht="15" customHeight="1">
      <c r="A49" t="inlineStr">
        <is>
          <t>A 6093-2026</t>
        </is>
      </c>
      <c r="B49" s="1" t="n">
        <v>46052</v>
      </c>
      <c r="C49" s="1" t="n">
        <v>46203</v>
      </c>
      <c r="D49" t="inlineStr">
        <is>
          <t>VÄSTRA GÖTALANDS LÄN</t>
        </is>
      </c>
      <c r="E49" t="inlineStr">
        <is>
          <t>SKÖVDE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HYPERLINK("https://klasma.github.io/Logging_1496/artfynd/A 6093-2026 artfynd.xlsx", "A 6093-2026")</f>
        <v/>
      </c>
      <c r="T49">
        <f>HYPERLINK("https://klasma.github.io/Logging_1496/kartor/A 6093-2026 karta.png", "A 6093-2026")</f>
        <v/>
      </c>
      <c r="V49">
        <f>HYPERLINK("https://klasma.github.io/Logging_1496/klagomål/A 6093-2026 FSC-klagomål.docx", "A 6093-2026")</f>
        <v/>
      </c>
      <c r="W49">
        <f>HYPERLINK("https://klasma.github.io/Logging_1496/klagomålsmail/A 6093-2026 FSC-klagomål mail.docx", "A 6093-2026")</f>
        <v/>
      </c>
      <c r="X49">
        <f>HYPERLINK("https://klasma.github.io/Logging_1496/tillsyn/A 6093-2026 tillsynsbegäran.docx", "A 6093-2026")</f>
        <v/>
      </c>
      <c r="Y49">
        <f>HYPERLINK("https://klasma.github.io/Logging_1496/tillsynsmail/A 6093-2026 tillsynsbegäran mail.docx", "A 6093-2026")</f>
        <v/>
      </c>
    </row>
    <row r="50" ht="15" customHeight="1">
      <c r="A50" t="inlineStr">
        <is>
          <t>A 61213-2024</t>
        </is>
      </c>
      <c r="B50" s="1" t="n">
        <v>45645</v>
      </c>
      <c r="C50" s="1" t="n">
        <v>46203</v>
      </c>
      <c r="D50" t="inlineStr">
        <is>
          <t>VÄSTRA GÖTALANDS LÄN</t>
        </is>
      </c>
      <c r="E50" t="inlineStr">
        <is>
          <t>SKÖVDE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HYPERLINK("https://klasma.github.io/Logging_1496/artfynd/A 61213-2024 artfynd.xlsx", "A 61213-2024")</f>
        <v/>
      </c>
      <c r="T50">
        <f>HYPERLINK("https://klasma.github.io/Logging_1496/kartor/A 61213-2024 karta.png", "A 61213-2024")</f>
        <v/>
      </c>
      <c r="V50">
        <f>HYPERLINK("https://klasma.github.io/Logging_1496/klagomål/A 61213-2024 FSC-klagomål.docx", "A 61213-2024")</f>
        <v/>
      </c>
      <c r="W50">
        <f>HYPERLINK("https://klasma.github.io/Logging_1496/klagomålsmail/A 61213-2024 FSC-klagomål mail.docx", "A 61213-2024")</f>
        <v/>
      </c>
      <c r="X50">
        <f>HYPERLINK("https://klasma.github.io/Logging_1496/tillsyn/A 61213-2024 tillsynsbegäran.docx", "A 61213-2024")</f>
        <v/>
      </c>
      <c r="Y50">
        <f>HYPERLINK("https://klasma.github.io/Logging_1496/tillsynsmail/A 61213-2024 tillsynsbegäran mail.docx", "A 61213-2024")</f>
        <v/>
      </c>
    </row>
    <row r="51" ht="15" customHeight="1">
      <c r="A51" t="inlineStr">
        <is>
          <t>A 24814-2026</t>
        </is>
      </c>
      <c r="B51" s="1" t="n">
        <v>46173</v>
      </c>
      <c r="C51" s="1" t="n">
        <v>46203</v>
      </c>
      <c r="D51" t="inlineStr">
        <is>
          <t>VÄSTRA GÖTALANDS LÄN</t>
        </is>
      </c>
      <c r="E51" t="inlineStr">
        <is>
          <t>SKÖVDE</t>
        </is>
      </c>
      <c r="G51" t="n">
        <v>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HYPERLINK("https://klasma.github.io/Logging_1496/artfynd/A 24814-2026 artfynd.xlsx", "A 24814-2026")</f>
        <v/>
      </c>
      <c r="T51">
        <f>HYPERLINK("https://klasma.github.io/Logging_1496/kartor/A 24814-2026 karta.png", "A 24814-2026")</f>
        <v/>
      </c>
      <c r="V51">
        <f>HYPERLINK("https://klasma.github.io/Logging_1496/klagomål/A 24814-2026 FSC-klagomål.docx", "A 24814-2026")</f>
        <v/>
      </c>
      <c r="W51">
        <f>HYPERLINK("https://klasma.github.io/Logging_1496/klagomålsmail/A 24814-2026 FSC-klagomål mail.docx", "A 24814-2026")</f>
        <v/>
      </c>
      <c r="X51">
        <f>HYPERLINK("https://klasma.github.io/Logging_1496/tillsyn/A 24814-2026 tillsynsbegäran.docx", "A 24814-2026")</f>
        <v/>
      </c>
      <c r="Y51">
        <f>HYPERLINK("https://klasma.github.io/Logging_1496/tillsynsmail/A 24814-2026 tillsynsbegäran mail.docx", "A 24814-2026")</f>
        <v/>
      </c>
    </row>
    <row r="52" ht="15" customHeight="1">
      <c r="A52" t="inlineStr">
        <is>
          <t>A 3951-2024</t>
        </is>
      </c>
      <c r="B52" s="1" t="n">
        <v>45322</v>
      </c>
      <c r="C52" s="1" t="n">
        <v>46203</v>
      </c>
      <c r="D52" t="inlineStr">
        <is>
          <t>VÄSTRA GÖTALANDS LÄN</t>
        </is>
      </c>
      <c r="E52" t="inlineStr">
        <is>
          <t>SKÖVDE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HYPERLINK("https://klasma.github.io/Logging_1496/artfynd/A 3951-2024 artfynd.xlsx", "A 3951-2024")</f>
        <v/>
      </c>
      <c r="T52">
        <f>HYPERLINK("https://klasma.github.io/Logging_1496/kartor/A 3951-2024 karta.png", "A 3951-2024")</f>
        <v/>
      </c>
      <c r="V52">
        <f>HYPERLINK("https://klasma.github.io/Logging_1496/klagomål/A 3951-2024 FSC-klagomål.docx", "A 3951-2024")</f>
        <v/>
      </c>
      <c r="W52">
        <f>HYPERLINK("https://klasma.github.io/Logging_1496/klagomålsmail/A 3951-2024 FSC-klagomål mail.docx", "A 3951-2024")</f>
        <v/>
      </c>
      <c r="X52">
        <f>HYPERLINK("https://klasma.github.io/Logging_1496/tillsyn/A 3951-2024 tillsynsbegäran.docx", "A 3951-2024")</f>
        <v/>
      </c>
      <c r="Y52">
        <f>HYPERLINK("https://klasma.github.io/Logging_1496/tillsynsmail/A 3951-2024 tillsynsbegäran mail.docx", "A 3951-2024")</f>
        <v/>
      </c>
    </row>
    <row r="53" ht="15" customHeight="1">
      <c r="A53" t="inlineStr">
        <is>
          <t>A 17070-2025</t>
        </is>
      </c>
      <c r="B53" s="1" t="n">
        <v>45755</v>
      </c>
      <c r="C53" s="1" t="n">
        <v>46203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Kommuner</t>
        </is>
      </c>
      <c r="G53" t="n">
        <v>0.9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HYPERLINK("https://klasma.github.io/Logging_1496/artfynd/A 17070-2025 artfynd.xlsx", "A 17070-2025")</f>
        <v/>
      </c>
      <c r="T53">
        <f>HYPERLINK("https://klasma.github.io/Logging_1496/kartor/A 17070-2025 karta.png", "A 17070-2025")</f>
        <v/>
      </c>
      <c r="V53">
        <f>HYPERLINK("https://klasma.github.io/Logging_1496/klagomål/A 17070-2025 FSC-klagomål.docx", "A 17070-2025")</f>
        <v/>
      </c>
      <c r="W53">
        <f>HYPERLINK("https://klasma.github.io/Logging_1496/klagomålsmail/A 17070-2025 FSC-klagomål mail.docx", "A 17070-2025")</f>
        <v/>
      </c>
      <c r="X53">
        <f>HYPERLINK("https://klasma.github.io/Logging_1496/tillsyn/A 17070-2025 tillsynsbegäran.docx", "A 17070-2025")</f>
        <v/>
      </c>
      <c r="Y53">
        <f>HYPERLINK("https://klasma.github.io/Logging_1496/tillsynsmail/A 17070-2025 tillsynsbegäran mail.docx", "A 17070-2025")</f>
        <v/>
      </c>
    </row>
    <row r="54" ht="15" customHeight="1">
      <c r="A54" t="inlineStr">
        <is>
          <t>A 26800-2026</t>
        </is>
      </c>
      <c r="B54" s="1" t="n">
        <v>46185</v>
      </c>
      <c r="C54" s="1" t="n">
        <v>46203</v>
      </c>
      <c r="D54" t="inlineStr">
        <is>
          <t>VÄSTRA GÖTALANDS LÄN</t>
        </is>
      </c>
      <c r="E54" t="inlineStr">
        <is>
          <t>SKÖVDE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HYPERLINK("https://klasma.github.io/Logging_1496/artfynd/A 26800-2026 artfynd.xlsx", "A 26800-2026")</f>
        <v/>
      </c>
      <c r="T54">
        <f>HYPERLINK("https://klasma.github.io/Logging_1496/kartor/A 26800-2026 karta.png", "A 26800-2026")</f>
        <v/>
      </c>
      <c r="V54">
        <f>HYPERLINK("https://klasma.github.io/Logging_1496/klagomål/A 26800-2026 FSC-klagomål.docx", "A 26800-2026")</f>
        <v/>
      </c>
      <c r="W54">
        <f>HYPERLINK("https://klasma.github.io/Logging_1496/klagomålsmail/A 26800-2026 FSC-klagomål mail.docx", "A 26800-2026")</f>
        <v/>
      </c>
      <c r="X54">
        <f>HYPERLINK("https://klasma.github.io/Logging_1496/tillsyn/A 26800-2026 tillsynsbegäran.docx", "A 26800-2026")</f>
        <v/>
      </c>
      <c r="Y54">
        <f>HYPERLINK("https://klasma.github.io/Logging_1496/tillsynsmail/A 26800-2026 tillsynsbegäran mail.docx", "A 26800-2026")</f>
        <v/>
      </c>
    </row>
    <row r="55" ht="15" customHeight="1">
      <c r="A55" t="inlineStr">
        <is>
          <t>A 28717-2026</t>
        </is>
      </c>
      <c r="B55" s="1" t="n">
        <v>46198</v>
      </c>
      <c r="C55" s="1" t="n">
        <v>46203</v>
      </c>
      <c r="D55" t="inlineStr">
        <is>
          <t>VÄSTRA GÖTALANDS LÄN</t>
        </is>
      </c>
      <c r="E55" t="inlineStr">
        <is>
          <t>SKÖVDE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HYPERLINK("https://klasma.github.io/Logging_1496/artfynd/A 28717-2026 artfynd.xlsx", "A 28717-2026")</f>
        <v/>
      </c>
      <c r="T55">
        <f>HYPERLINK("https://klasma.github.io/Logging_1496/kartor/A 28717-2026 karta.png", "A 28717-2026")</f>
        <v/>
      </c>
      <c r="V55">
        <f>HYPERLINK("https://klasma.github.io/Logging_1496/klagomål/A 28717-2026 FSC-klagomål.docx", "A 28717-2026")</f>
        <v/>
      </c>
      <c r="W55">
        <f>HYPERLINK("https://klasma.github.io/Logging_1496/klagomålsmail/A 28717-2026 FSC-klagomål mail.docx", "A 28717-2026")</f>
        <v/>
      </c>
      <c r="X55">
        <f>HYPERLINK("https://klasma.github.io/Logging_1496/tillsyn/A 28717-2026 tillsynsbegäran.docx", "A 28717-2026")</f>
        <v/>
      </c>
      <c r="Y55">
        <f>HYPERLINK("https://klasma.github.io/Logging_1496/tillsynsmail/A 28717-2026 tillsynsbegäran mail.docx", "A 28717-2026")</f>
        <v/>
      </c>
    </row>
    <row r="56" ht="15" customHeight="1">
      <c r="A56" t="inlineStr">
        <is>
          <t>A 29011-2023</t>
        </is>
      </c>
      <c r="B56" s="1" t="n">
        <v>45104</v>
      </c>
      <c r="C56" s="1" t="n">
        <v>46203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Kommuner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HYPERLINK("https://klasma.github.io/Logging_1496/artfynd/A 29011-2023 artfynd.xlsx", "A 29011-2023")</f>
        <v/>
      </c>
      <c r="T56">
        <f>HYPERLINK("https://klasma.github.io/Logging_1496/kartor/A 29011-2023 karta.png", "A 29011-2023")</f>
        <v/>
      </c>
      <c r="V56">
        <f>HYPERLINK("https://klasma.github.io/Logging_1496/klagomål/A 29011-2023 FSC-klagomål.docx", "A 29011-2023")</f>
        <v/>
      </c>
      <c r="W56">
        <f>HYPERLINK("https://klasma.github.io/Logging_1496/klagomålsmail/A 29011-2023 FSC-klagomål mail.docx", "A 29011-2023")</f>
        <v/>
      </c>
      <c r="X56">
        <f>HYPERLINK("https://klasma.github.io/Logging_1496/tillsyn/A 29011-2023 tillsynsbegäran.docx", "A 29011-2023")</f>
        <v/>
      </c>
      <c r="Y56">
        <f>HYPERLINK("https://klasma.github.io/Logging_1496/tillsynsmail/A 29011-2023 tillsynsbegäran mail.docx", "A 29011-2023")</f>
        <v/>
      </c>
    </row>
    <row r="57" ht="15" customHeight="1">
      <c r="A57" t="inlineStr">
        <is>
          <t>A 15417-2023</t>
        </is>
      </c>
      <c r="B57" s="1" t="n">
        <v>45019</v>
      </c>
      <c r="C57" s="1" t="n">
        <v>46203</v>
      </c>
      <c r="D57" t="inlineStr">
        <is>
          <t>VÄSTRA GÖTALANDS LÄN</t>
        </is>
      </c>
      <c r="E57" t="inlineStr">
        <is>
          <t>SKÖVDE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Gullpudra</t>
        </is>
      </c>
      <c r="S57">
        <f>HYPERLINK("https://klasma.github.io/Logging_1496/artfynd/A 15417-2023 artfynd.xlsx", "A 15417-2023")</f>
        <v/>
      </c>
      <c r="T57">
        <f>HYPERLINK("https://klasma.github.io/Logging_1496/kartor/A 15417-2023 karta.png", "A 15417-2023")</f>
        <v/>
      </c>
      <c r="V57">
        <f>HYPERLINK("https://klasma.github.io/Logging_1496/klagomål/A 15417-2023 FSC-klagomål.docx", "A 15417-2023")</f>
        <v/>
      </c>
      <c r="W57">
        <f>HYPERLINK("https://klasma.github.io/Logging_1496/klagomålsmail/A 15417-2023 FSC-klagomål mail.docx", "A 15417-2023")</f>
        <v/>
      </c>
      <c r="X57">
        <f>HYPERLINK("https://klasma.github.io/Logging_1496/tillsyn/A 15417-2023 tillsynsbegäran.docx", "A 15417-2023")</f>
        <v/>
      </c>
      <c r="Y57">
        <f>HYPERLINK("https://klasma.github.io/Logging_1496/tillsynsmail/A 15417-2023 tillsynsbegäran mail.docx", "A 15417-2023")</f>
        <v/>
      </c>
    </row>
    <row r="58" ht="15" customHeight="1">
      <c r="A58" t="inlineStr">
        <is>
          <t>A 10602-2023</t>
        </is>
      </c>
      <c r="B58" s="1" t="n">
        <v>44988</v>
      </c>
      <c r="C58" s="1" t="n">
        <v>46203</v>
      </c>
      <c r="D58" t="inlineStr">
        <is>
          <t>VÄSTRA GÖTALANDS LÄN</t>
        </is>
      </c>
      <c r="E58" t="inlineStr">
        <is>
          <t>SKÖVDE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HYPERLINK("https://klasma.github.io/Logging_1496/artfynd/A 10602-2023 artfynd.xlsx", "A 10602-2023")</f>
        <v/>
      </c>
      <c r="T58">
        <f>HYPERLINK("https://klasma.github.io/Logging_1496/kartor/A 10602-2023 karta.png", "A 10602-2023")</f>
        <v/>
      </c>
      <c r="V58">
        <f>HYPERLINK("https://klasma.github.io/Logging_1496/klagomål/A 10602-2023 FSC-klagomål.docx", "A 10602-2023")</f>
        <v/>
      </c>
      <c r="W58">
        <f>HYPERLINK("https://klasma.github.io/Logging_1496/klagomålsmail/A 10602-2023 FSC-klagomål mail.docx", "A 10602-2023")</f>
        <v/>
      </c>
      <c r="X58">
        <f>HYPERLINK("https://klasma.github.io/Logging_1496/tillsyn/A 10602-2023 tillsynsbegäran.docx", "A 10602-2023")</f>
        <v/>
      </c>
      <c r="Y58">
        <f>HYPERLINK("https://klasma.github.io/Logging_1496/tillsynsmail/A 10602-2023 tillsynsbegäran mail.docx", "A 10602-2023")</f>
        <v/>
      </c>
    </row>
    <row r="59" ht="15" customHeight="1">
      <c r="A59" t="inlineStr">
        <is>
          <t>A 47898-2023</t>
        </is>
      </c>
      <c r="B59" s="1" t="n">
        <v>45204</v>
      </c>
      <c r="C59" s="1" t="n">
        <v>46203</v>
      </c>
      <c r="D59" t="inlineStr">
        <is>
          <t>VÄSTRA GÖTALANDS LÄN</t>
        </is>
      </c>
      <c r="E59" t="inlineStr">
        <is>
          <t>SKÖVDE</t>
        </is>
      </c>
      <c r="G59" t="n">
        <v>9.5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Karminticka</t>
        </is>
      </c>
      <c r="S59">
        <f>HYPERLINK("https://klasma.github.io/Logging_1496/artfynd/A 47898-2023 artfynd.xlsx", "A 47898-2023")</f>
        <v/>
      </c>
      <c r="T59">
        <f>HYPERLINK("https://klasma.github.io/Logging_1496/kartor/A 47898-2023 karta.png", "A 47898-2023")</f>
        <v/>
      </c>
      <c r="V59">
        <f>HYPERLINK("https://klasma.github.io/Logging_1496/klagomål/A 47898-2023 FSC-klagomål.docx", "A 47898-2023")</f>
        <v/>
      </c>
      <c r="W59">
        <f>HYPERLINK("https://klasma.github.io/Logging_1496/klagomålsmail/A 47898-2023 FSC-klagomål mail.docx", "A 47898-2023")</f>
        <v/>
      </c>
      <c r="X59">
        <f>HYPERLINK("https://klasma.github.io/Logging_1496/tillsyn/A 47898-2023 tillsynsbegäran.docx", "A 47898-2023")</f>
        <v/>
      </c>
      <c r="Y59">
        <f>HYPERLINK("https://klasma.github.io/Logging_1496/tillsynsmail/A 47898-2023 tillsynsbegäran mail.docx", "A 47898-2023")</f>
        <v/>
      </c>
    </row>
    <row r="60" ht="15" customHeight="1">
      <c r="A60" t="inlineStr">
        <is>
          <t>A 52377-2023</t>
        </is>
      </c>
      <c r="B60" s="1" t="n">
        <v>45224</v>
      </c>
      <c r="C60" s="1" t="n">
        <v>46203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Kransrams</t>
        </is>
      </c>
      <c r="S60">
        <f>HYPERLINK("https://klasma.github.io/Logging_1496/artfynd/A 52377-2023 artfynd.xlsx", "A 52377-2023")</f>
        <v/>
      </c>
      <c r="T60">
        <f>HYPERLINK("https://klasma.github.io/Logging_1496/kartor/A 52377-2023 karta.png", "A 52377-2023")</f>
        <v/>
      </c>
      <c r="V60">
        <f>HYPERLINK("https://klasma.github.io/Logging_1496/klagomål/A 52377-2023 FSC-klagomål.docx", "A 52377-2023")</f>
        <v/>
      </c>
      <c r="W60">
        <f>HYPERLINK("https://klasma.github.io/Logging_1496/klagomålsmail/A 52377-2023 FSC-klagomål mail.docx", "A 52377-2023")</f>
        <v/>
      </c>
      <c r="X60">
        <f>HYPERLINK("https://klasma.github.io/Logging_1496/tillsyn/A 52377-2023 tillsynsbegäran.docx", "A 52377-2023")</f>
        <v/>
      </c>
      <c r="Y60">
        <f>HYPERLINK("https://klasma.github.io/Logging_1496/tillsynsmail/A 52377-2023 tillsynsbegäran mail.docx", "A 52377-2023")</f>
        <v/>
      </c>
    </row>
    <row r="61" ht="15" customHeight="1">
      <c r="A61" t="inlineStr">
        <is>
          <t>A 17452-2023</t>
        </is>
      </c>
      <c r="B61" s="1" t="n">
        <v>45036</v>
      </c>
      <c r="C61" s="1" t="n">
        <v>46203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HYPERLINK("https://klasma.github.io/Logging_1496/artfynd/A 17452-2023 artfynd.xlsx", "A 17452-2023")</f>
        <v/>
      </c>
      <c r="T61">
        <f>HYPERLINK("https://klasma.github.io/Logging_1496/kartor/A 17452-2023 karta.png", "A 17452-2023")</f>
        <v/>
      </c>
      <c r="V61">
        <f>HYPERLINK("https://klasma.github.io/Logging_1496/klagomål/A 17452-2023 FSC-klagomål.docx", "A 17452-2023")</f>
        <v/>
      </c>
      <c r="W61">
        <f>HYPERLINK("https://klasma.github.io/Logging_1496/klagomålsmail/A 17452-2023 FSC-klagomål mail.docx", "A 17452-2023")</f>
        <v/>
      </c>
      <c r="X61">
        <f>HYPERLINK("https://klasma.github.io/Logging_1496/tillsyn/A 17452-2023 tillsynsbegäran.docx", "A 17452-2023")</f>
        <v/>
      </c>
      <c r="Y61">
        <f>HYPERLINK("https://klasma.github.io/Logging_1496/tillsynsmail/A 17452-2023 tillsynsbegäran mail.docx", "A 17452-2023")</f>
        <v/>
      </c>
    </row>
    <row r="62" ht="15" customHeight="1">
      <c r="A62" t="inlineStr">
        <is>
          <t>A 18132-2023</t>
        </is>
      </c>
      <c r="B62" s="1" t="n">
        <v>45040</v>
      </c>
      <c r="C62" s="1" t="n">
        <v>46203</v>
      </c>
      <c r="D62" t="inlineStr">
        <is>
          <t>VÄSTRA GÖTALANDS LÄN</t>
        </is>
      </c>
      <c r="E62" t="inlineStr">
        <is>
          <t>SKÖVDE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Hässleklocka</t>
        </is>
      </c>
      <c r="S62">
        <f>HYPERLINK("https://klasma.github.io/Logging_1496/artfynd/A 18132-2023 artfynd.xlsx", "A 18132-2023")</f>
        <v/>
      </c>
      <c r="T62">
        <f>HYPERLINK("https://klasma.github.io/Logging_1496/kartor/A 18132-2023 karta.png", "A 18132-2023")</f>
        <v/>
      </c>
      <c r="V62">
        <f>HYPERLINK("https://klasma.github.io/Logging_1496/klagomål/A 18132-2023 FSC-klagomål.docx", "A 18132-2023")</f>
        <v/>
      </c>
      <c r="W62">
        <f>HYPERLINK("https://klasma.github.io/Logging_1496/klagomålsmail/A 18132-2023 FSC-klagomål mail.docx", "A 18132-2023")</f>
        <v/>
      </c>
      <c r="X62">
        <f>HYPERLINK("https://klasma.github.io/Logging_1496/tillsyn/A 18132-2023 tillsynsbegäran.docx", "A 18132-2023")</f>
        <v/>
      </c>
      <c r="Y62">
        <f>HYPERLINK("https://klasma.github.io/Logging_1496/tillsynsmail/A 18132-2023 tillsynsbegäran mail.docx", "A 18132-2023")</f>
        <v/>
      </c>
    </row>
    <row r="63" ht="15" customHeight="1">
      <c r="A63" t="inlineStr">
        <is>
          <t>A 35919-2023</t>
        </is>
      </c>
      <c r="B63" s="1" t="n">
        <v>45148</v>
      </c>
      <c r="C63" s="1" t="n">
        <v>46203</v>
      </c>
      <c r="D63" t="inlineStr">
        <is>
          <t>VÄSTRA GÖTALANDS LÄN</t>
        </is>
      </c>
      <c r="E63" t="inlineStr">
        <is>
          <t>SKÖVDE</t>
        </is>
      </c>
      <c r="G63" t="n">
        <v>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HYPERLINK("https://klasma.github.io/Logging_1496/artfynd/A 35919-2023 artfynd.xlsx", "A 35919-2023")</f>
        <v/>
      </c>
      <c r="T63">
        <f>HYPERLINK("https://klasma.github.io/Logging_1496/kartor/A 35919-2023 karta.png", "A 35919-2023")</f>
        <v/>
      </c>
      <c r="V63">
        <f>HYPERLINK("https://klasma.github.io/Logging_1496/klagomål/A 35919-2023 FSC-klagomål.docx", "A 35919-2023")</f>
        <v/>
      </c>
      <c r="W63">
        <f>HYPERLINK("https://klasma.github.io/Logging_1496/klagomålsmail/A 35919-2023 FSC-klagomål mail.docx", "A 35919-2023")</f>
        <v/>
      </c>
      <c r="X63">
        <f>HYPERLINK("https://klasma.github.io/Logging_1496/tillsyn/A 35919-2023 tillsynsbegäran.docx", "A 35919-2023")</f>
        <v/>
      </c>
      <c r="Y63">
        <f>HYPERLINK("https://klasma.github.io/Logging_1496/tillsynsmail/A 35919-2023 tillsynsbegäran mail.docx", "A 35919-2023")</f>
        <v/>
      </c>
    </row>
    <row r="64" ht="15" customHeight="1">
      <c r="A64" t="inlineStr">
        <is>
          <t>A 42904-2023</t>
        </is>
      </c>
      <c r="B64" s="1" t="n">
        <v>45182</v>
      </c>
      <c r="C64" s="1" t="n">
        <v>46203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Kommuner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HYPERLINK("https://klasma.github.io/Logging_1496/artfynd/A 42904-2023 artfynd.xlsx", "A 42904-2023")</f>
        <v/>
      </c>
      <c r="T64">
        <f>HYPERLINK("https://klasma.github.io/Logging_1496/kartor/A 42904-2023 karta.png", "A 42904-2023")</f>
        <v/>
      </c>
      <c r="V64">
        <f>HYPERLINK("https://klasma.github.io/Logging_1496/klagomål/A 42904-2023 FSC-klagomål.docx", "A 42904-2023")</f>
        <v/>
      </c>
      <c r="W64">
        <f>HYPERLINK("https://klasma.github.io/Logging_1496/klagomålsmail/A 42904-2023 FSC-klagomål mail.docx", "A 42904-2023")</f>
        <v/>
      </c>
      <c r="X64">
        <f>HYPERLINK("https://klasma.github.io/Logging_1496/tillsyn/A 42904-2023 tillsynsbegäran.docx", "A 42904-2023")</f>
        <v/>
      </c>
      <c r="Y64">
        <f>HYPERLINK("https://klasma.github.io/Logging_1496/tillsynsmail/A 42904-2023 tillsynsbegäran mail.docx", "A 42904-2023")</f>
        <v/>
      </c>
    </row>
    <row r="65" ht="15" customHeight="1">
      <c r="A65" t="inlineStr">
        <is>
          <t>A 46086-2021</t>
        </is>
      </c>
      <c r="B65" s="1" t="n">
        <v>44442</v>
      </c>
      <c r="C65" s="1" t="n">
        <v>46203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41155-2021</t>
        </is>
      </c>
      <c r="B66" s="1" t="n">
        <v>44421</v>
      </c>
      <c r="C66" s="1" t="n">
        <v>46203</v>
      </c>
      <c r="D66" t="inlineStr">
        <is>
          <t>VÄSTRA GÖTALANDS LÄN</t>
        </is>
      </c>
      <c r="E66" t="inlineStr">
        <is>
          <t>SKÖVDE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35776-2021</t>
        </is>
      </c>
      <c r="B67" s="1" t="n">
        <v>44386</v>
      </c>
      <c r="C67" s="1" t="n">
        <v>46203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5192-2022</t>
        </is>
      </c>
      <c r="B68" s="1" t="n">
        <v>44594</v>
      </c>
      <c r="C68" s="1" t="n">
        <v>46203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8134-2022</t>
        </is>
      </c>
      <c r="B69" s="1" t="n">
        <v>44609</v>
      </c>
      <c r="C69" s="1" t="n">
        <v>46203</v>
      </c>
      <c r="D69" t="inlineStr">
        <is>
          <t>VÄSTRA GÖTALANDS LÄN</t>
        </is>
      </c>
      <c r="E69" t="inlineStr">
        <is>
          <t>SKÖVDE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36598-2021</t>
        </is>
      </c>
      <c r="B70" s="1" t="n">
        <v>44391</v>
      </c>
      <c r="C70" s="1" t="n">
        <v>46203</v>
      </c>
      <c r="D70" t="inlineStr">
        <is>
          <t>VÄSTRA GÖTALANDS LÄN</t>
        </is>
      </c>
      <c r="E70" t="inlineStr">
        <is>
          <t>SKÖVDE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71907-2021</t>
        </is>
      </c>
      <c r="B71" s="1" t="n">
        <v>44543</v>
      </c>
      <c r="C71" s="1" t="n">
        <v>46203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Naturvårdsverket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65804-2021</t>
        </is>
      </c>
      <c r="B72" s="1" t="n">
        <v>44516</v>
      </c>
      <c r="C72" s="1" t="n">
        <v>46203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45379-2022</t>
        </is>
      </c>
      <c r="B73" s="1" t="n">
        <v>44844</v>
      </c>
      <c r="C73" s="1" t="n">
        <v>46203</v>
      </c>
      <c r="D73" t="inlineStr">
        <is>
          <t>VÄSTRA GÖTALANDS LÄN</t>
        </is>
      </c>
      <c r="E73" t="inlineStr">
        <is>
          <t>SKÖVDE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608-2022</t>
        </is>
      </c>
      <c r="B74" s="1" t="n">
        <v>44567</v>
      </c>
      <c r="C74" s="1" t="n">
        <v>46203</v>
      </c>
      <c r="D74" t="inlineStr">
        <is>
          <t>VÄSTRA GÖTALANDS LÄN</t>
        </is>
      </c>
      <c r="E74" t="inlineStr">
        <is>
          <t>SKÖVDE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67135-2021</t>
        </is>
      </c>
      <c r="B75" s="1" t="n">
        <v>44523</v>
      </c>
      <c r="C75" s="1" t="n">
        <v>46203</v>
      </c>
      <c r="D75" t="inlineStr">
        <is>
          <t>VÄSTRA GÖTALANDS LÄN</t>
        </is>
      </c>
      <c r="E75" t="inlineStr">
        <is>
          <t>SKÖVDE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41156-2021</t>
        </is>
      </c>
      <c r="B76" s="1" t="n">
        <v>44421</v>
      </c>
      <c r="C76" s="1" t="n">
        <v>46203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28508-2022</t>
        </is>
      </c>
      <c r="B77" s="1" t="n">
        <v>44748</v>
      </c>
      <c r="C77" s="1" t="n">
        <v>46203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28510-2022</t>
        </is>
      </c>
      <c r="B78" s="1" t="n">
        <v>44748</v>
      </c>
      <c r="C78" s="1" t="n">
        <v>46203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3488-2022</t>
        </is>
      </c>
      <c r="B79" s="1" t="n">
        <v>44585</v>
      </c>
      <c r="C79" s="1" t="n">
        <v>46203</v>
      </c>
      <c r="D79" t="inlineStr">
        <is>
          <t>VÄSTRA GÖTALANDS LÄN</t>
        </is>
      </c>
      <c r="E79" t="inlineStr">
        <is>
          <t>SKÖVDE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8817-2022</t>
        </is>
      </c>
      <c r="B80" s="1" t="n">
        <v>44614</v>
      </c>
      <c r="C80" s="1" t="n">
        <v>46203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Kyrkan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20279-2022</t>
        </is>
      </c>
      <c r="B81" s="1" t="n">
        <v>44698</v>
      </c>
      <c r="C81" s="1" t="n">
        <v>46203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34744-2021</t>
        </is>
      </c>
      <c r="B82" s="1" t="n">
        <v>44382</v>
      </c>
      <c r="C82" s="1" t="n">
        <v>46203</v>
      </c>
      <c r="D82" t="inlineStr">
        <is>
          <t>VÄSTRA GÖTALANDS LÄN</t>
        </is>
      </c>
      <c r="E82" t="inlineStr">
        <is>
          <t>SKÖVDE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26836-2022</t>
        </is>
      </c>
      <c r="B83" s="1" t="n">
        <v>44740</v>
      </c>
      <c r="C83" s="1" t="n">
        <v>46203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69119-2021</t>
        </is>
      </c>
      <c r="B84" s="1" t="n">
        <v>44530</v>
      </c>
      <c r="C84" s="1" t="n">
        <v>46203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20280-2022</t>
        </is>
      </c>
      <c r="B85" s="1" t="n">
        <v>44698</v>
      </c>
      <c r="C85" s="1" t="n">
        <v>46203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46231-2022</t>
        </is>
      </c>
      <c r="B86" s="1" t="n">
        <v>44847</v>
      </c>
      <c r="C86" s="1" t="n">
        <v>46203</v>
      </c>
      <c r="D86" t="inlineStr">
        <is>
          <t>VÄSTRA GÖTALANDS LÄN</t>
        </is>
      </c>
      <c r="E86" t="inlineStr">
        <is>
          <t>SKÖVDE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11885-2022</t>
        </is>
      </c>
      <c r="B87" s="1" t="n">
        <v>44635</v>
      </c>
      <c r="C87" s="1" t="n">
        <v>46203</v>
      </c>
      <c r="D87" t="inlineStr">
        <is>
          <t>VÄSTRA GÖTALANDS LÄN</t>
        </is>
      </c>
      <c r="E87" t="inlineStr">
        <is>
          <t>SKÖVDE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56831-2021</t>
        </is>
      </c>
      <c r="B88" s="1" t="n">
        <v>44481</v>
      </c>
      <c r="C88" s="1" t="n">
        <v>46203</v>
      </c>
      <c r="D88" t="inlineStr">
        <is>
          <t>VÄSTRA GÖTALANDS LÄN</t>
        </is>
      </c>
      <c r="E88" t="inlineStr">
        <is>
          <t>SKÖVDE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40592-2022</t>
        </is>
      </c>
      <c r="B89" s="1" t="n">
        <v>44823</v>
      </c>
      <c r="C89" s="1" t="n">
        <v>46203</v>
      </c>
      <c r="D89" t="inlineStr">
        <is>
          <t>VÄSTRA GÖTALANDS LÄN</t>
        </is>
      </c>
      <c r="E89" t="inlineStr">
        <is>
          <t>SKÖVDE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11282-2022</t>
        </is>
      </c>
      <c r="B90" s="1" t="n">
        <v>44629</v>
      </c>
      <c r="C90" s="1" t="n">
        <v>46203</v>
      </c>
      <c r="D90" t="inlineStr">
        <is>
          <t>VÄSTRA GÖTALANDS LÄN</t>
        </is>
      </c>
      <c r="E90" t="inlineStr">
        <is>
          <t>SKÖVDE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30560-2022</t>
        </is>
      </c>
      <c r="B91" s="1" t="n">
        <v>44762</v>
      </c>
      <c r="C91" s="1" t="n">
        <v>46203</v>
      </c>
      <c r="D91" t="inlineStr">
        <is>
          <t>VÄSTRA GÖTALANDS LÄN</t>
        </is>
      </c>
      <c r="E91" t="inlineStr">
        <is>
          <t>SKÖVDE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37451-2022</t>
        </is>
      </c>
      <c r="B92" s="1" t="n">
        <v>44809</v>
      </c>
      <c r="C92" s="1" t="n">
        <v>46203</v>
      </c>
      <c r="D92" t="inlineStr">
        <is>
          <t>VÄSTRA GÖTALANDS LÄN</t>
        </is>
      </c>
      <c r="E92" t="inlineStr">
        <is>
          <t>SKÖVDE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62290-2023</t>
        </is>
      </c>
      <c r="B93" s="1" t="n">
        <v>45267</v>
      </c>
      <c r="C93" s="1" t="n">
        <v>46203</v>
      </c>
      <c r="D93" t="inlineStr">
        <is>
          <t>VÄSTRA GÖTALANDS LÄN</t>
        </is>
      </c>
      <c r="E93" t="inlineStr">
        <is>
          <t>SKÖVDE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3946-2024</t>
        </is>
      </c>
      <c r="B94" s="1" t="n">
        <v>45322</v>
      </c>
      <c r="C94" s="1" t="n">
        <v>46203</v>
      </c>
      <c r="D94" t="inlineStr">
        <is>
          <t>VÄSTRA GÖTALANDS LÄN</t>
        </is>
      </c>
      <c r="E94" t="inlineStr">
        <is>
          <t>SKÖVDE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50829-2022</t>
        </is>
      </c>
      <c r="B95" s="1" t="n">
        <v>44862</v>
      </c>
      <c r="C95" s="1" t="n">
        <v>46203</v>
      </c>
      <c r="D95" t="inlineStr">
        <is>
          <t>VÄSTRA GÖTALANDS LÄN</t>
        </is>
      </c>
      <c r="E95" t="inlineStr">
        <is>
          <t>SKÖVDE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47892-2025</t>
        </is>
      </c>
      <c r="B96" s="1" t="n">
        <v>45932</v>
      </c>
      <c r="C96" s="1" t="n">
        <v>46203</v>
      </c>
      <c r="D96" t="inlineStr">
        <is>
          <t>VÄSTRA GÖTALANDS LÄN</t>
        </is>
      </c>
      <c r="E96" t="inlineStr">
        <is>
          <t>SKÖVDE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60588-2023</t>
        </is>
      </c>
      <c r="B97" s="1" t="n">
        <v>45259</v>
      </c>
      <c r="C97" s="1" t="n">
        <v>46203</v>
      </c>
      <c r="D97" t="inlineStr">
        <is>
          <t>VÄSTRA GÖTALANDS LÄN</t>
        </is>
      </c>
      <c r="E97" t="inlineStr">
        <is>
          <t>SKÖVDE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20602-2025</t>
        </is>
      </c>
      <c r="B98" s="1" t="n">
        <v>45775</v>
      </c>
      <c r="C98" s="1" t="n">
        <v>46203</v>
      </c>
      <c r="D98" t="inlineStr">
        <is>
          <t>VÄSTRA GÖTALANDS LÄN</t>
        </is>
      </c>
      <c r="E98" t="inlineStr">
        <is>
          <t>SKÖVDE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48890-2025</t>
        </is>
      </c>
      <c r="B99" s="1" t="n">
        <v>45937</v>
      </c>
      <c r="C99" s="1" t="n">
        <v>46203</v>
      </c>
      <c r="D99" t="inlineStr">
        <is>
          <t>VÄSTRA GÖTALANDS LÄN</t>
        </is>
      </c>
      <c r="E99" t="inlineStr">
        <is>
          <t>SKÖVDE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38499-2025</t>
        </is>
      </c>
      <c r="B100" s="1" t="n">
        <v>45884</v>
      </c>
      <c r="C100" s="1" t="n">
        <v>46203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Kyrkan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22021-2025</t>
        </is>
      </c>
      <c r="B101" s="1" t="n">
        <v>45784</v>
      </c>
      <c r="C101" s="1" t="n">
        <v>46203</v>
      </c>
      <c r="D101" t="inlineStr">
        <is>
          <t>VÄSTRA GÖTALANDS LÄN</t>
        </is>
      </c>
      <c r="E101" t="inlineStr">
        <is>
          <t>SKÖVDE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39073-2025</t>
        </is>
      </c>
      <c r="B102" s="1" t="n">
        <v>45888</v>
      </c>
      <c r="C102" s="1" t="n">
        <v>46203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34211-2023</t>
        </is>
      </c>
      <c r="B103" s="1" t="n">
        <v>45138</v>
      </c>
      <c r="C103" s="1" t="n">
        <v>46203</v>
      </c>
      <c r="D103" t="inlineStr">
        <is>
          <t>VÄSTRA GÖTALANDS LÄN</t>
        </is>
      </c>
      <c r="E103" t="inlineStr">
        <is>
          <t>SKÖVDE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35199-2025</t>
        </is>
      </c>
      <c r="B104" s="1" t="n">
        <v>45853</v>
      </c>
      <c r="C104" s="1" t="n">
        <v>46203</v>
      </c>
      <c r="D104" t="inlineStr">
        <is>
          <t>VÄSTRA GÖTALANDS LÄN</t>
        </is>
      </c>
      <c r="E104" t="inlineStr">
        <is>
          <t>SKÖVDE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17326-2025</t>
        </is>
      </c>
      <c r="B105" s="1" t="n">
        <v>45756</v>
      </c>
      <c r="C105" s="1" t="n">
        <v>46203</v>
      </c>
      <c r="D105" t="inlineStr">
        <is>
          <t>VÄSTRA GÖTALANDS LÄN</t>
        </is>
      </c>
      <c r="E105" t="inlineStr">
        <is>
          <t>SKÖVDE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58456-2024</t>
        </is>
      </c>
      <c r="B106" s="1" t="n">
        <v>45635</v>
      </c>
      <c r="C106" s="1" t="n">
        <v>46203</v>
      </c>
      <c r="D106" t="inlineStr">
        <is>
          <t>VÄSTRA GÖTALANDS LÄN</t>
        </is>
      </c>
      <c r="E106" t="inlineStr">
        <is>
          <t>SKÖVDE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13802-2024</t>
        </is>
      </c>
      <c r="B107" s="1" t="n">
        <v>45391</v>
      </c>
      <c r="C107" s="1" t="n">
        <v>46203</v>
      </c>
      <c r="D107" t="inlineStr">
        <is>
          <t>VÄSTRA GÖTALANDS LÄN</t>
        </is>
      </c>
      <c r="E107" t="inlineStr">
        <is>
          <t>SKÖVDE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51193-2025</t>
        </is>
      </c>
      <c r="B108" s="1" t="n">
        <v>45947</v>
      </c>
      <c r="C108" s="1" t="n">
        <v>46203</v>
      </c>
      <c r="D108" t="inlineStr">
        <is>
          <t>VÄSTRA GÖTALANDS LÄN</t>
        </is>
      </c>
      <c r="E108" t="inlineStr">
        <is>
          <t>SKÖVDE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39238-2025</t>
        </is>
      </c>
      <c r="B109" s="1" t="n">
        <v>45889</v>
      </c>
      <c r="C109" s="1" t="n">
        <v>46203</v>
      </c>
      <c r="D109" t="inlineStr">
        <is>
          <t>VÄSTRA GÖTALANDS LÄN</t>
        </is>
      </c>
      <c r="E109" t="inlineStr">
        <is>
          <t>SKÖVDE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39243-2025</t>
        </is>
      </c>
      <c r="B110" s="1" t="n">
        <v>45889</v>
      </c>
      <c r="C110" s="1" t="n">
        <v>46203</v>
      </c>
      <c r="D110" t="inlineStr">
        <is>
          <t>VÄSTRA GÖTALANDS LÄN</t>
        </is>
      </c>
      <c r="E110" t="inlineStr">
        <is>
          <t>SKÖVDE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51217-2025</t>
        </is>
      </c>
      <c r="B111" s="1" t="n">
        <v>45947</v>
      </c>
      <c r="C111" s="1" t="n">
        <v>46203</v>
      </c>
      <c r="D111" t="inlineStr">
        <is>
          <t>VÄSTRA GÖTALANDS LÄN</t>
        </is>
      </c>
      <c r="E111" t="inlineStr">
        <is>
          <t>SKÖVDE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51155-2025</t>
        </is>
      </c>
      <c r="B112" s="1" t="n">
        <v>45947</v>
      </c>
      <c r="C112" s="1" t="n">
        <v>46203</v>
      </c>
      <c r="D112" t="inlineStr">
        <is>
          <t>VÄSTRA GÖTALANDS LÄN</t>
        </is>
      </c>
      <c r="E112" t="inlineStr">
        <is>
          <t>SKÖVDE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8557-2025</t>
        </is>
      </c>
      <c r="B113" s="1" t="n">
        <v>45709</v>
      </c>
      <c r="C113" s="1" t="n">
        <v>46203</v>
      </c>
      <c r="D113" t="inlineStr">
        <is>
          <t>VÄSTRA GÖTALANDS LÄN</t>
        </is>
      </c>
      <c r="E113" t="inlineStr">
        <is>
          <t>SKÖVDE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52172-2025</t>
        </is>
      </c>
      <c r="B114" s="1" t="n">
        <v>45953</v>
      </c>
      <c r="C114" s="1" t="n">
        <v>46203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23487-2025</t>
        </is>
      </c>
      <c r="B115" s="1" t="n">
        <v>45792</v>
      </c>
      <c r="C115" s="1" t="n">
        <v>46203</v>
      </c>
      <c r="D115" t="inlineStr">
        <is>
          <t>VÄSTRA GÖTALANDS LÄN</t>
        </is>
      </c>
      <c r="E115" t="inlineStr">
        <is>
          <t>SKÖVDE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8606-2025</t>
        </is>
      </c>
      <c r="B116" s="1" t="n">
        <v>45710</v>
      </c>
      <c r="C116" s="1" t="n">
        <v>46203</v>
      </c>
      <c r="D116" t="inlineStr">
        <is>
          <t>VÄSTRA GÖTALANDS LÄN</t>
        </is>
      </c>
      <c r="E116" t="inlineStr">
        <is>
          <t>SKÖVDE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14969-2025</t>
        </is>
      </c>
      <c r="B117" s="1" t="n">
        <v>45743</v>
      </c>
      <c r="C117" s="1" t="n">
        <v>46203</v>
      </c>
      <c r="D117" t="inlineStr">
        <is>
          <t>VÄSTRA GÖTALANDS LÄN</t>
        </is>
      </c>
      <c r="E117" t="inlineStr">
        <is>
          <t>SKÖVDE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9640-2025</t>
        </is>
      </c>
      <c r="B118" s="1" t="n">
        <v>45715</v>
      </c>
      <c r="C118" s="1" t="n">
        <v>46203</v>
      </c>
      <c r="D118" t="inlineStr">
        <is>
          <t>VÄSTRA GÖTALANDS LÄN</t>
        </is>
      </c>
      <c r="E118" t="inlineStr">
        <is>
          <t>SKÖVDE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53153-2025</t>
        </is>
      </c>
      <c r="B119" s="1" t="n">
        <v>45958</v>
      </c>
      <c r="C119" s="1" t="n">
        <v>46203</v>
      </c>
      <c r="D119" t="inlineStr">
        <is>
          <t>VÄSTRA GÖTALANDS LÄN</t>
        </is>
      </c>
      <c r="E119" t="inlineStr">
        <is>
          <t>SKÖVDE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35069-2023</t>
        </is>
      </c>
      <c r="B120" s="1" t="n">
        <v>45142</v>
      </c>
      <c r="C120" s="1" t="n">
        <v>46203</v>
      </c>
      <c r="D120" t="inlineStr">
        <is>
          <t>VÄSTRA GÖTALANDS LÄN</t>
        </is>
      </c>
      <c r="E120" t="inlineStr">
        <is>
          <t>SKÖVDE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565-2024</t>
        </is>
      </c>
      <c r="B121" s="1" t="n">
        <v>45299</v>
      </c>
      <c r="C121" s="1" t="n">
        <v>46203</v>
      </c>
      <c r="D121" t="inlineStr">
        <is>
          <t>VÄSTRA GÖTALANDS LÄN</t>
        </is>
      </c>
      <c r="E121" t="inlineStr">
        <is>
          <t>SKÖVDE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12972-2025</t>
        </is>
      </c>
      <c r="B122" s="1" t="n">
        <v>45734</v>
      </c>
      <c r="C122" s="1" t="n">
        <v>46203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952-2024</t>
        </is>
      </c>
      <c r="B123" s="1" t="n">
        <v>45301</v>
      </c>
      <c r="C123" s="1" t="n">
        <v>46203</v>
      </c>
      <c r="D123" t="inlineStr">
        <is>
          <t>VÄSTRA GÖTALANDS LÄN</t>
        </is>
      </c>
      <c r="E123" t="inlineStr">
        <is>
          <t>SKÖVDE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58342-2023</t>
        </is>
      </c>
      <c r="B124" s="1" t="n">
        <v>45245</v>
      </c>
      <c r="C124" s="1" t="n">
        <v>46203</v>
      </c>
      <c r="D124" t="inlineStr">
        <is>
          <t>VÄSTRA GÖTALANDS LÄN</t>
        </is>
      </c>
      <c r="E124" t="inlineStr">
        <is>
          <t>SKÖVDE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2917-2024</t>
        </is>
      </c>
      <c r="B125" s="1" t="n">
        <v>45315</v>
      </c>
      <c r="C125" s="1" t="n">
        <v>46203</v>
      </c>
      <c r="D125" t="inlineStr">
        <is>
          <t>VÄSTRA GÖTALANDS LÄN</t>
        </is>
      </c>
      <c r="E125" t="inlineStr">
        <is>
          <t>SKÖVDE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24186-2025</t>
        </is>
      </c>
      <c r="B126" s="1" t="n">
        <v>45796</v>
      </c>
      <c r="C126" s="1" t="n">
        <v>46203</v>
      </c>
      <c r="D126" t="inlineStr">
        <is>
          <t>VÄSTRA GÖTALANDS LÄN</t>
        </is>
      </c>
      <c r="E126" t="inlineStr">
        <is>
          <t>SKÖVDE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5658-2024</t>
        </is>
      </c>
      <c r="B127" s="1" t="n">
        <v>45334</v>
      </c>
      <c r="C127" s="1" t="n">
        <v>46203</v>
      </c>
      <c r="D127" t="inlineStr">
        <is>
          <t>VÄSTRA GÖTALANDS LÄN</t>
        </is>
      </c>
      <c r="E127" t="inlineStr">
        <is>
          <t>SKÖVDE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24962-2025</t>
        </is>
      </c>
      <c r="B128" s="1" t="n">
        <v>45799</v>
      </c>
      <c r="C128" s="1" t="n">
        <v>46203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25271-2025</t>
        </is>
      </c>
      <c r="B129" s="1" t="n">
        <v>45800</v>
      </c>
      <c r="C129" s="1" t="n">
        <v>46203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58929-2022</t>
        </is>
      </c>
      <c r="B130" s="1" t="n">
        <v>44903</v>
      </c>
      <c r="C130" s="1" t="n">
        <v>46203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25639-2025</t>
        </is>
      </c>
      <c r="B131" s="1" t="n">
        <v>45800</v>
      </c>
      <c r="C131" s="1" t="n">
        <v>46203</v>
      </c>
      <c r="D131" t="inlineStr">
        <is>
          <t>VÄSTRA GÖTALANDS LÄN</t>
        </is>
      </c>
      <c r="E131" t="inlineStr">
        <is>
          <t>SKÖVDE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25003-2025</t>
        </is>
      </c>
      <c r="B132" s="1" t="n">
        <v>45799</v>
      </c>
      <c r="C132" s="1" t="n">
        <v>46203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25642-2025</t>
        </is>
      </c>
      <c r="B133" s="1" t="n">
        <v>45803</v>
      </c>
      <c r="C133" s="1" t="n">
        <v>46203</v>
      </c>
      <c r="D133" t="inlineStr">
        <is>
          <t>VÄSTRA GÖTALANDS LÄN</t>
        </is>
      </c>
      <c r="E133" t="inlineStr">
        <is>
          <t>SKÖVDE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26618-2025</t>
        </is>
      </c>
      <c r="B134" s="1" t="n">
        <v>45810</v>
      </c>
      <c r="C134" s="1" t="n">
        <v>46203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44867-2022</t>
        </is>
      </c>
      <c r="B135" s="1" t="n">
        <v>44840</v>
      </c>
      <c r="C135" s="1" t="n">
        <v>46203</v>
      </c>
      <c r="D135" t="inlineStr">
        <is>
          <t>VÄSTRA GÖTALANDS LÄN</t>
        </is>
      </c>
      <c r="E135" t="inlineStr">
        <is>
          <t>SKÖVDE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26620-2025</t>
        </is>
      </c>
      <c r="B136" s="1" t="n">
        <v>45810</v>
      </c>
      <c r="C136" s="1" t="n">
        <v>46203</v>
      </c>
      <c r="D136" t="inlineStr">
        <is>
          <t>VÄSTRA GÖTALANDS LÄN</t>
        </is>
      </c>
      <c r="E136" t="inlineStr">
        <is>
          <t>SKÖVDE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26614-2025</t>
        </is>
      </c>
      <c r="B137" s="1" t="n">
        <v>45810</v>
      </c>
      <c r="C137" s="1" t="n">
        <v>46203</v>
      </c>
      <c r="D137" t="inlineStr">
        <is>
          <t>VÄSTRA GÖTALANDS LÄN</t>
        </is>
      </c>
      <c r="E137" t="inlineStr">
        <is>
          <t>SKÖVDE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46923-2025</t>
        </is>
      </c>
      <c r="B138" s="1" t="n">
        <v>45929</v>
      </c>
      <c r="C138" s="1" t="n">
        <v>46203</v>
      </c>
      <c r="D138" t="inlineStr">
        <is>
          <t>VÄSTRA GÖTALANDS LÄN</t>
        </is>
      </c>
      <c r="E138" t="inlineStr">
        <is>
          <t>SKÖVDE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42579-2025</t>
        </is>
      </c>
      <c r="B139" s="1" t="n">
        <v>45905</v>
      </c>
      <c r="C139" s="1" t="n">
        <v>46203</v>
      </c>
      <c r="D139" t="inlineStr">
        <is>
          <t>VÄSTRA GÖTALANDS LÄN</t>
        </is>
      </c>
      <c r="E139" t="inlineStr">
        <is>
          <t>SKÖVDE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29341-2025</t>
        </is>
      </c>
      <c r="B140" s="1" t="n">
        <v>45824</v>
      </c>
      <c r="C140" s="1" t="n">
        <v>46203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29015-2025</t>
        </is>
      </c>
      <c r="B141" s="1" t="n">
        <v>45821</v>
      </c>
      <c r="C141" s="1" t="n">
        <v>46203</v>
      </c>
      <c r="D141" t="inlineStr">
        <is>
          <t>VÄSTRA GÖTALANDS LÄN</t>
        </is>
      </c>
      <c r="E141" t="inlineStr">
        <is>
          <t>SKÖVDE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29012-2025</t>
        </is>
      </c>
      <c r="B142" s="1" t="n">
        <v>45821</v>
      </c>
      <c r="C142" s="1" t="n">
        <v>46203</v>
      </c>
      <c r="D142" t="inlineStr">
        <is>
          <t>VÄSTRA GÖTALANDS LÄN</t>
        </is>
      </c>
      <c r="E142" t="inlineStr">
        <is>
          <t>SKÖVDE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29017-2025</t>
        </is>
      </c>
      <c r="B143" s="1" t="n">
        <v>45821</v>
      </c>
      <c r="C143" s="1" t="n">
        <v>46203</v>
      </c>
      <c r="D143" t="inlineStr">
        <is>
          <t>VÄSTRA GÖTALANDS LÄN</t>
        </is>
      </c>
      <c r="E143" t="inlineStr">
        <is>
          <t>SKÖVDE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29023-2025</t>
        </is>
      </c>
      <c r="B144" s="1" t="n">
        <v>45821</v>
      </c>
      <c r="C144" s="1" t="n">
        <v>46203</v>
      </c>
      <c r="D144" t="inlineStr">
        <is>
          <t>VÄSTRA GÖTALANDS LÄN</t>
        </is>
      </c>
      <c r="E144" t="inlineStr">
        <is>
          <t>SKÖVDE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59366-2025</t>
        </is>
      </c>
      <c r="B145" s="1" t="n">
        <v>45989</v>
      </c>
      <c r="C145" s="1" t="n">
        <v>46203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30150-2025</t>
        </is>
      </c>
      <c r="B146" s="1" t="n">
        <v>45827</v>
      </c>
      <c r="C146" s="1" t="n">
        <v>46203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59384-2025</t>
        </is>
      </c>
      <c r="B147" s="1" t="n">
        <v>45989</v>
      </c>
      <c r="C147" s="1" t="n">
        <v>46203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2708-2024</t>
        </is>
      </c>
      <c r="B148" s="1" t="n">
        <v>45314</v>
      </c>
      <c r="C148" s="1" t="n">
        <v>46203</v>
      </c>
      <c r="D148" t="inlineStr">
        <is>
          <t>VÄSTRA GÖTALANDS LÄN</t>
        </is>
      </c>
      <c r="E148" t="inlineStr">
        <is>
          <t>SKÖVDE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1641-2024</t>
        </is>
      </c>
      <c r="B149" s="1" t="n">
        <v>45306</v>
      </c>
      <c r="C149" s="1" t="n">
        <v>46203</v>
      </c>
      <c r="D149" t="inlineStr">
        <is>
          <t>VÄSTRA GÖTALANDS LÄN</t>
        </is>
      </c>
      <c r="E149" t="inlineStr">
        <is>
          <t>SKÖVDE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61130-2025</t>
        </is>
      </c>
      <c r="B150" s="1" t="n">
        <v>46000</v>
      </c>
      <c r="C150" s="1" t="n">
        <v>46203</v>
      </c>
      <c r="D150" t="inlineStr">
        <is>
          <t>VÄSTRA GÖTALANDS LÄN</t>
        </is>
      </c>
      <c r="E150" t="inlineStr">
        <is>
          <t>SKÖVDE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37656-2023</t>
        </is>
      </c>
      <c r="B151" s="1" t="n">
        <v>45159</v>
      </c>
      <c r="C151" s="1" t="n">
        <v>46203</v>
      </c>
      <c r="D151" t="inlineStr">
        <is>
          <t>VÄSTRA GÖTALANDS LÄN</t>
        </is>
      </c>
      <c r="E151" t="inlineStr">
        <is>
          <t>SKÖVDE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33053-2025</t>
        </is>
      </c>
      <c r="B152" s="1" t="n">
        <v>45840</v>
      </c>
      <c r="C152" s="1" t="n">
        <v>46203</v>
      </c>
      <c r="D152" t="inlineStr">
        <is>
          <t>VÄSTRA GÖTALANDS LÄN</t>
        </is>
      </c>
      <c r="E152" t="inlineStr">
        <is>
          <t>SKÖVDE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61421-2025</t>
        </is>
      </c>
      <c r="B153" s="1" t="n">
        <v>46001</v>
      </c>
      <c r="C153" s="1" t="n">
        <v>46203</v>
      </c>
      <c r="D153" t="inlineStr">
        <is>
          <t>VÄSTRA GÖTALANDS LÄN</t>
        </is>
      </c>
      <c r="E153" t="inlineStr">
        <is>
          <t>SKÖVDE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61699-2025</t>
        </is>
      </c>
      <c r="B154" s="1" t="n">
        <v>46002</v>
      </c>
      <c r="C154" s="1" t="n">
        <v>46203</v>
      </c>
      <c r="D154" t="inlineStr">
        <is>
          <t>VÄSTRA GÖTALANDS LÄN</t>
        </is>
      </c>
      <c r="E154" t="inlineStr">
        <is>
          <t>SKÖVDE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61700-2025</t>
        </is>
      </c>
      <c r="B155" s="1" t="n">
        <v>46002</v>
      </c>
      <c r="C155" s="1" t="n">
        <v>46203</v>
      </c>
      <c r="D155" t="inlineStr">
        <is>
          <t>VÄSTRA GÖTALANDS LÄN</t>
        </is>
      </c>
      <c r="E155" t="inlineStr">
        <is>
          <t>SKÖVDE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61420-2025</t>
        </is>
      </c>
      <c r="B156" s="1" t="n">
        <v>46001</v>
      </c>
      <c r="C156" s="1" t="n">
        <v>46203</v>
      </c>
      <c r="D156" t="inlineStr">
        <is>
          <t>VÄSTRA GÖTALANDS LÄN</t>
        </is>
      </c>
      <c r="E156" t="inlineStr">
        <is>
          <t>SKÖVDE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61422-2025</t>
        </is>
      </c>
      <c r="B157" s="1" t="n">
        <v>46001</v>
      </c>
      <c r="C157" s="1" t="n">
        <v>46203</v>
      </c>
      <c r="D157" t="inlineStr">
        <is>
          <t>VÄSTRA GÖTALANDS LÄN</t>
        </is>
      </c>
      <c r="E157" t="inlineStr">
        <is>
          <t>SKÖVDE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33861-2025</t>
        </is>
      </c>
      <c r="B158" s="1" t="n">
        <v>45842</v>
      </c>
      <c r="C158" s="1" t="n">
        <v>46203</v>
      </c>
      <c r="D158" t="inlineStr">
        <is>
          <t>VÄSTRA GÖTALANDS LÄN</t>
        </is>
      </c>
      <c r="E158" t="inlineStr">
        <is>
          <t>SKÖVDE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62811-2025</t>
        </is>
      </c>
      <c r="B159" s="1" t="n">
        <v>46008</v>
      </c>
      <c r="C159" s="1" t="n">
        <v>46203</v>
      </c>
      <c r="D159" t="inlineStr">
        <is>
          <t>VÄSTRA GÖTALANDS LÄN</t>
        </is>
      </c>
      <c r="E159" t="inlineStr">
        <is>
          <t>SKÖVDE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62803-2025</t>
        </is>
      </c>
      <c r="B160" s="1" t="n">
        <v>46008</v>
      </c>
      <c r="C160" s="1" t="n">
        <v>46203</v>
      </c>
      <c r="D160" t="inlineStr">
        <is>
          <t>VÄSTRA GÖTALANDS LÄN</t>
        </is>
      </c>
      <c r="E160" t="inlineStr">
        <is>
          <t>SKÖVDE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34410-2025</t>
        </is>
      </c>
      <c r="B161" s="1" t="n">
        <v>45846</v>
      </c>
      <c r="C161" s="1" t="n">
        <v>46203</v>
      </c>
      <c r="D161" t="inlineStr">
        <is>
          <t>VÄSTRA GÖTALANDS LÄN</t>
        </is>
      </c>
      <c r="E161" t="inlineStr">
        <is>
          <t>SKÖVDE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34414-2025</t>
        </is>
      </c>
      <c r="B162" s="1" t="n">
        <v>45846</v>
      </c>
      <c r="C162" s="1" t="n">
        <v>46203</v>
      </c>
      <c r="D162" t="inlineStr">
        <is>
          <t>VÄSTRA GÖTALANDS LÄN</t>
        </is>
      </c>
      <c r="E162" t="inlineStr">
        <is>
          <t>SKÖVDE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34412-2025</t>
        </is>
      </c>
      <c r="B163" s="1" t="n">
        <v>45846</v>
      </c>
      <c r="C163" s="1" t="n">
        <v>46203</v>
      </c>
      <c r="D163" t="inlineStr">
        <is>
          <t>VÄSTRA GÖTALANDS LÄN</t>
        </is>
      </c>
      <c r="E163" t="inlineStr">
        <is>
          <t>SKÖVDE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1780-2023</t>
        </is>
      </c>
      <c r="B164" s="1" t="n">
        <v>44938</v>
      </c>
      <c r="C164" s="1" t="n">
        <v>46203</v>
      </c>
      <c r="D164" t="inlineStr">
        <is>
          <t>VÄSTRA GÖTALANDS LÄN</t>
        </is>
      </c>
      <c r="E164" t="inlineStr">
        <is>
          <t>SKÖVDE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35610-2024</t>
        </is>
      </c>
      <c r="B165" s="1" t="n">
        <v>45531</v>
      </c>
      <c r="C165" s="1" t="n">
        <v>46203</v>
      </c>
      <c r="D165" t="inlineStr">
        <is>
          <t>VÄSTRA GÖTALANDS LÄN</t>
        </is>
      </c>
      <c r="E165" t="inlineStr">
        <is>
          <t>SKÖVDE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63453-2025</t>
        </is>
      </c>
      <c r="B166" s="1" t="n">
        <v>46013</v>
      </c>
      <c r="C166" s="1" t="n">
        <v>46203</v>
      </c>
      <c r="D166" t="inlineStr">
        <is>
          <t>VÄSTRA GÖTALANDS LÄN</t>
        </is>
      </c>
      <c r="E166" t="inlineStr">
        <is>
          <t>SKÖVDE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2858-2024</t>
        </is>
      </c>
      <c r="B167" s="1" t="n">
        <v>45315</v>
      </c>
      <c r="C167" s="1" t="n">
        <v>46203</v>
      </c>
      <c r="D167" t="inlineStr">
        <is>
          <t>VÄSTRA GÖTALANDS LÄN</t>
        </is>
      </c>
      <c r="E167" t="inlineStr">
        <is>
          <t>SKÖVDE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63751-2025</t>
        </is>
      </c>
      <c r="B168" s="1" t="n">
        <v>46017</v>
      </c>
      <c r="C168" s="1" t="n">
        <v>46203</v>
      </c>
      <c r="D168" t="inlineStr">
        <is>
          <t>VÄSTRA GÖTALANDS LÄN</t>
        </is>
      </c>
      <c r="E168" t="inlineStr">
        <is>
          <t>SKÖVDE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19372-2025</t>
        </is>
      </c>
      <c r="B169" s="1" t="n">
        <v>45769</v>
      </c>
      <c r="C169" s="1" t="n">
        <v>46203</v>
      </c>
      <c r="D169" t="inlineStr">
        <is>
          <t>VÄSTRA GÖTALANDS LÄN</t>
        </is>
      </c>
      <c r="E169" t="inlineStr">
        <is>
          <t>SKÖVDE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10560-2025</t>
        </is>
      </c>
      <c r="B170" s="1" t="n">
        <v>45721</v>
      </c>
      <c r="C170" s="1" t="n">
        <v>46203</v>
      </c>
      <c r="D170" t="inlineStr">
        <is>
          <t>VÄSTRA GÖTALANDS LÄN</t>
        </is>
      </c>
      <c r="E170" t="inlineStr">
        <is>
          <t>SKÖVDE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1844-2026</t>
        </is>
      </c>
      <c r="B171" s="1" t="n">
        <v>46035</v>
      </c>
      <c r="C171" s="1" t="n">
        <v>46203</v>
      </c>
      <c r="D171" t="inlineStr">
        <is>
          <t>VÄSTRA GÖTALANDS LÄN</t>
        </is>
      </c>
      <c r="E171" t="inlineStr">
        <is>
          <t>SKÖVDE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2259-2026</t>
        </is>
      </c>
      <c r="B172" s="1" t="n">
        <v>46036</v>
      </c>
      <c r="C172" s="1" t="n">
        <v>46203</v>
      </c>
      <c r="D172" t="inlineStr">
        <is>
          <t>VÄSTRA GÖTALANDS LÄN</t>
        </is>
      </c>
      <c r="E172" t="inlineStr">
        <is>
          <t>SKÖVDE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47466-2024</t>
        </is>
      </c>
      <c r="B173" s="1" t="n">
        <v>45586</v>
      </c>
      <c r="C173" s="1" t="n">
        <v>46203</v>
      </c>
      <c r="D173" t="inlineStr">
        <is>
          <t>VÄSTRA GÖTALANDS LÄN</t>
        </is>
      </c>
      <c r="E173" t="inlineStr">
        <is>
          <t>SKÖVDE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47490-2024</t>
        </is>
      </c>
      <c r="B174" s="1" t="n">
        <v>45586</v>
      </c>
      <c r="C174" s="1" t="n">
        <v>46203</v>
      </c>
      <c r="D174" t="inlineStr">
        <is>
          <t>VÄSTRA GÖTALANDS LÄN</t>
        </is>
      </c>
      <c r="E174" t="inlineStr">
        <is>
          <t>SKÖVDE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1629-2025</t>
        </is>
      </c>
      <c r="B175" s="1" t="n">
        <v>45670</v>
      </c>
      <c r="C175" s="1" t="n">
        <v>46203</v>
      </c>
      <c r="D175" t="inlineStr">
        <is>
          <t>VÄSTRA GÖTALANDS LÄN</t>
        </is>
      </c>
      <c r="E175" t="inlineStr">
        <is>
          <t>SKÖVDE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38903-2024</t>
        </is>
      </c>
      <c r="B176" s="1" t="n">
        <v>45547</v>
      </c>
      <c r="C176" s="1" t="n">
        <v>46203</v>
      </c>
      <c r="D176" t="inlineStr">
        <is>
          <t>VÄSTRA GÖTALANDS LÄN</t>
        </is>
      </c>
      <c r="E176" t="inlineStr">
        <is>
          <t>SKÖVDE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6092-2026</t>
        </is>
      </c>
      <c r="B177" s="1" t="n">
        <v>46052</v>
      </c>
      <c r="C177" s="1" t="n">
        <v>46203</v>
      </c>
      <c r="D177" t="inlineStr">
        <is>
          <t>VÄSTRA GÖTALANDS LÄN</t>
        </is>
      </c>
      <c r="E177" t="inlineStr">
        <is>
          <t>SKÖVDE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5785-2026</t>
        </is>
      </c>
      <c r="B178" s="1" t="n">
        <v>46051</v>
      </c>
      <c r="C178" s="1" t="n">
        <v>46203</v>
      </c>
      <c r="D178" t="inlineStr">
        <is>
          <t>VÄSTRA GÖTALANDS LÄN</t>
        </is>
      </c>
      <c r="E178" t="inlineStr">
        <is>
          <t>SKÖVDE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1784-2023</t>
        </is>
      </c>
      <c r="B179" s="1" t="n">
        <v>44938</v>
      </c>
      <c r="C179" s="1" t="n">
        <v>46203</v>
      </c>
      <c r="D179" t="inlineStr">
        <is>
          <t>VÄSTRA GÖTALANDS LÄN</t>
        </is>
      </c>
      <c r="E179" t="inlineStr">
        <is>
          <t>SKÖVDE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15388-2024</t>
        </is>
      </c>
      <c r="B180" s="1" t="n">
        <v>45401</v>
      </c>
      <c r="C180" s="1" t="n">
        <v>46203</v>
      </c>
      <c r="D180" t="inlineStr">
        <is>
          <t>VÄSTRA GÖTALANDS LÄN</t>
        </is>
      </c>
      <c r="E180" t="inlineStr">
        <is>
          <t>SKÖVDE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5995-2022</t>
        </is>
      </c>
      <c r="B181" s="1" t="n">
        <v>44599</v>
      </c>
      <c r="C181" s="1" t="n">
        <v>46203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63374-2025</t>
        </is>
      </c>
      <c r="B182" s="1" t="n">
        <v>46009</v>
      </c>
      <c r="C182" s="1" t="n">
        <v>46203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Övriga statliga verk och myndigheter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63730-2025</t>
        </is>
      </c>
      <c r="B183" s="1" t="n">
        <v>46010</v>
      </c>
      <c r="C183" s="1" t="n">
        <v>46203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Övriga statliga verk och myndigheter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63375-2025</t>
        </is>
      </c>
      <c r="B184" s="1" t="n">
        <v>46009</v>
      </c>
      <c r="C184" s="1" t="n">
        <v>46203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Övriga statliga verk och myndigheter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63729-2025</t>
        </is>
      </c>
      <c r="B185" s="1" t="n">
        <v>46010</v>
      </c>
      <c r="C185" s="1" t="n">
        <v>46203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Övriga statliga verk och myndigheter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7748-2026</t>
        </is>
      </c>
      <c r="B186" s="1" t="n">
        <v>46062</v>
      </c>
      <c r="C186" s="1" t="n">
        <v>46203</v>
      </c>
      <c r="D186" t="inlineStr">
        <is>
          <t>VÄSTRA GÖTALANDS LÄN</t>
        </is>
      </c>
      <c r="E186" t="inlineStr">
        <is>
          <t>SKÖVDE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59893-2025</t>
        </is>
      </c>
      <c r="B187" s="1" t="n">
        <v>45992</v>
      </c>
      <c r="C187" s="1" t="n">
        <v>46203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7746-2026</t>
        </is>
      </c>
      <c r="B188" s="1" t="n">
        <v>46062</v>
      </c>
      <c r="C188" s="1" t="n">
        <v>46203</v>
      </c>
      <c r="D188" t="inlineStr">
        <is>
          <t>VÄSTRA GÖTALANDS LÄN</t>
        </is>
      </c>
      <c r="E188" t="inlineStr">
        <is>
          <t>SKÖVDE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20912-2024</t>
        </is>
      </c>
      <c r="B189" s="1" t="n">
        <v>45439</v>
      </c>
      <c r="C189" s="1" t="n">
        <v>46203</v>
      </c>
      <c r="D189" t="inlineStr">
        <is>
          <t>VÄSTRA GÖTALANDS LÄN</t>
        </is>
      </c>
      <c r="E189" t="inlineStr">
        <is>
          <t>SKÖVDE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12817-2024</t>
        </is>
      </c>
      <c r="B190" s="1" t="n">
        <v>45384</v>
      </c>
      <c r="C190" s="1" t="n">
        <v>46203</v>
      </c>
      <c r="D190" t="inlineStr">
        <is>
          <t>VÄSTRA GÖTALANDS LÄN</t>
        </is>
      </c>
      <c r="E190" t="inlineStr">
        <is>
          <t>SKÖVDE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41942-2021</t>
        </is>
      </c>
      <c r="B191" s="1" t="n">
        <v>44425</v>
      </c>
      <c r="C191" s="1" t="n">
        <v>46203</v>
      </c>
      <c r="D191" t="inlineStr">
        <is>
          <t>VÄSTRA GÖTALANDS LÄN</t>
        </is>
      </c>
      <c r="E191" t="inlineStr">
        <is>
          <t>SKÖVDE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29217-2022</t>
        </is>
      </c>
      <c r="B192" s="1" t="n">
        <v>44750</v>
      </c>
      <c r="C192" s="1" t="n">
        <v>46203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48225-2024</t>
        </is>
      </c>
      <c r="B193" s="1" t="n">
        <v>45590</v>
      </c>
      <c r="C193" s="1" t="n">
        <v>46203</v>
      </c>
      <c r="D193" t="inlineStr">
        <is>
          <t>VÄSTRA GÖTALANDS LÄN</t>
        </is>
      </c>
      <c r="E193" t="inlineStr">
        <is>
          <t>SKÖVDE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12719-2026</t>
        </is>
      </c>
      <c r="B194" s="1" t="n">
        <v>46091</v>
      </c>
      <c r="C194" s="1" t="n">
        <v>46203</v>
      </c>
      <c r="D194" t="inlineStr">
        <is>
          <t>VÄSTRA GÖTALANDS LÄN</t>
        </is>
      </c>
      <c r="E194" t="inlineStr">
        <is>
          <t>SKÖVDE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40712-2021</t>
        </is>
      </c>
      <c r="B195" s="1" t="n">
        <v>44420</v>
      </c>
      <c r="C195" s="1" t="n">
        <v>46203</v>
      </c>
      <c r="D195" t="inlineStr">
        <is>
          <t>VÄSTRA GÖTALANDS LÄN</t>
        </is>
      </c>
      <c r="E195" t="inlineStr">
        <is>
          <t>SKÖVDE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48983-2024</t>
        </is>
      </c>
      <c r="B196" s="1" t="n">
        <v>45594</v>
      </c>
      <c r="C196" s="1" t="n">
        <v>46203</v>
      </c>
      <c r="D196" t="inlineStr">
        <is>
          <t>VÄSTRA GÖTALANDS LÄN</t>
        </is>
      </c>
      <c r="E196" t="inlineStr">
        <is>
          <t>SKÖVDE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14281-2026</t>
        </is>
      </c>
      <c r="B197" s="1" t="n">
        <v>46099</v>
      </c>
      <c r="C197" s="1" t="n">
        <v>46203</v>
      </c>
      <c r="D197" t="inlineStr">
        <is>
          <t>VÄSTRA GÖTALANDS LÄN</t>
        </is>
      </c>
      <c r="E197" t="inlineStr">
        <is>
          <t>SKÖVDE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40995-2022</t>
        </is>
      </c>
      <c r="B198" s="1" t="n">
        <v>44825</v>
      </c>
      <c r="C198" s="1" t="n">
        <v>46203</v>
      </c>
      <c r="D198" t="inlineStr">
        <is>
          <t>VÄSTRA GÖTALANDS LÄN</t>
        </is>
      </c>
      <c r="E198" t="inlineStr">
        <is>
          <t>SKÖVDE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23447-2023</t>
        </is>
      </c>
      <c r="B199" s="1" t="n">
        <v>45076</v>
      </c>
      <c r="C199" s="1" t="n">
        <v>46203</v>
      </c>
      <c r="D199" t="inlineStr">
        <is>
          <t>VÄSTRA GÖTALANDS LÄN</t>
        </is>
      </c>
      <c r="E199" t="inlineStr">
        <is>
          <t>SKÖVDE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6419-2025</t>
        </is>
      </c>
      <c r="B200" s="1" t="n">
        <v>45699</v>
      </c>
      <c r="C200" s="1" t="n">
        <v>46203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13669-2023</t>
        </is>
      </c>
      <c r="B201" s="1" t="n">
        <v>45006</v>
      </c>
      <c r="C201" s="1" t="n">
        <v>46203</v>
      </c>
      <c r="D201" t="inlineStr">
        <is>
          <t>VÄSTRA GÖTALANDS LÄN</t>
        </is>
      </c>
      <c r="E201" t="inlineStr">
        <is>
          <t>SKÖVDE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17021-2026</t>
        </is>
      </c>
      <c r="B202" s="1" t="n">
        <v>46114</v>
      </c>
      <c r="C202" s="1" t="n">
        <v>46203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38264-2023</t>
        </is>
      </c>
      <c r="B203" s="1" t="n">
        <v>45161</v>
      </c>
      <c r="C203" s="1" t="n">
        <v>46203</v>
      </c>
      <c r="D203" t="inlineStr">
        <is>
          <t>VÄSTRA GÖTALANDS LÄN</t>
        </is>
      </c>
      <c r="E203" t="inlineStr">
        <is>
          <t>SKÖVDE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13178-2023</t>
        </is>
      </c>
      <c r="B204" s="1" t="n">
        <v>45002</v>
      </c>
      <c r="C204" s="1" t="n">
        <v>46203</v>
      </c>
      <c r="D204" t="inlineStr">
        <is>
          <t>VÄSTRA GÖTALANDS LÄN</t>
        </is>
      </c>
      <c r="E204" t="inlineStr">
        <is>
          <t>SKÖVDE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48336-2024</t>
        </is>
      </c>
      <c r="B205" s="1" t="n">
        <v>45590</v>
      </c>
      <c r="C205" s="1" t="n">
        <v>46203</v>
      </c>
      <c r="D205" t="inlineStr">
        <is>
          <t>VÄSTRA GÖTALANDS LÄN</t>
        </is>
      </c>
      <c r="E205" t="inlineStr">
        <is>
          <t>SKÖVDE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18936-2026</t>
        </is>
      </c>
      <c r="B206" s="1" t="n">
        <v>46129</v>
      </c>
      <c r="C206" s="1" t="n">
        <v>46203</v>
      </c>
      <c r="D206" t="inlineStr">
        <is>
          <t>VÄSTRA GÖTALANDS LÄN</t>
        </is>
      </c>
      <c r="E206" t="inlineStr">
        <is>
          <t>SKÖVDE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24914-2026</t>
        </is>
      </c>
      <c r="B207" s="1" t="n">
        <v>46174</v>
      </c>
      <c r="C207" s="1" t="n">
        <v>46203</v>
      </c>
      <c r="D207" t="inlineStr">
        <is>
          <t>VÄSTRA GÖTALANDS LÄN</t>
        </is>
      </c>
      <c r="E207" t="inlineStr">
        <is>
          <t>SKÖVDE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39993-2025</t>
        </is>
      </c>
      <c r="B208" s="1" t="n">
        <v>45894</v>
      </c>
      <c r="C208" s="1" t="n">
        <v>46203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34592-2025</t>
        </is>
      </c>
      <c r="B209" s="1" t="n">
        <v>45847</v>
      </c>
      <c r="C209" s="1" t="n">
        <v>46203</v>
      </c>
      <c r="D209" t="inlineStr">
        <is>
          <t>VÄSTRA GÖTALANDS LÄN</t>
        </is>
      </c>
      <c r="E209" t="inlineStr">
        <is>
          <t>SKÖVDE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40205-2022</t>
        </is>
      </c>
      <c r="B210" s="1" t="n">
        <v>44820</v>
      </c>
      <c r="C210" s="1" t="n">
        <v>46203</v>
      </c>
      <c r="D210" t="inlineStr">
        <is>
          <t>VÄSTRA GÖTALANDS LÄN</t>
        </is>
      </c>
      <c r="E210" t="inlineStr">
        <is>
          <t>SKÖVDE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5479-2025</t>
        </is>
      </c>
      <c r="B211" s="1" t="n">
        <v>45693</v>
      </c>
      <c r="C211" s="1" t="n">
        <v>46203</v>
      </c>
      <c r="D211" t="inlineStr">
        <is>
          <t>VÄSTRA GÖTALANDS LÄN</t>
        </is>
      </c>
      <c r="E211" t="inlineStr">
        <is>
          <t>SKÖVDE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48149-2023</t>
        </is>
      </c>
      <c r="B212" s="1" t="n">
        <v>45201</v>
      </c>
      <c r="C212" s="1" t="n">
        <v>46203</v>
      </c>
      <c r="D212" t="inlineStr">
        <is>
          <t>VÄSTRA GÖTALANDS LÄN</t>
        </is>
      </c>
      <c r="E212" t="inlineStr">
        <is>
          <t>SKÖVDE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26365-2026</t>
        </is>
      </c>
      <c r="B213" s="1" t="n">
        <v>46182</v>
      </c>
      <c r="C213" s="1" t="n">
        <v>46203</v>
      </c>
      <c r="D213" t="inlineStr">
        <is>
          <t>VÄSTRA GÖTALANDS LÄN</t>
        </is>
      </c>
      <c r="E213" t="inlineStr">
        <is>
          <t>SKÖVDE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26117-2026</t>
        </is>
      </c>
      <c r="B214" s="1" t="n">
        <v>46181</v>
      </c>
      <c r="C214" s="1" t="n">
        <v>46203</v>
      </c>
      <c r="D214" t="inlineStr">
        <is>
          <t>VÄSTRA GÖTALANDS LÄN</t>
        </is>
      </c>
      <c r="E214" t="inlineStr">
        <is>
          <t>SKÖVDE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26364-2026</t>
        </is>
      </c>
      <c r="B215" s="1" t="n">
        <v>46182</v>
      </c>
      <c r="C215" s="1" t="n">
        <v>46203</v>
      </c>
      <c r="D215" t="inlineStr">
        <is>
          <t>VÄSTRA GÖTALANDS LÄN</t>
        </is>
      </c>
      <c r="E215" t="inlineStr">
        <is>
          <t>SKÖVDE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11917-2024</t>
        </is>
      </c>
      <c r="B216" s="1" t="n">
        <v>45376</v>
      </c>
      <c r="C216" s="1" t="n">
        <v>46203</v>
      </c>
      <c r="D216" t="inlineStr">
        <is>
          <t>VÄSTRA GÖTALANDS LÄN</t>
        </is>
      </c>
      <c r="E216" t="inlineStr">
        <is>
          <t>SKÖVDE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4316-2025</t>
        </is>
      </c>
      <c r="B217" s="1" t="n">
        <v>45685</v>
      </c>
      <c r="C217" s="1" t="n">
        <v>46203</v>
      </c>
      <c r="D217" t="inlineStr">
        <is>
          <t>VÄSTRA GÖTALANDS LÄN</t>
        </is>
      </c>
      <c r="E217" t="inlineStr">
        <is>
          <t>SKÖVDE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26804-2026</t>
        </is>
      </c>
      <c r="B218" s="1" t="n">
        <v>46185</v>
      </c>
      <c r="C218" s="1" t="n">
        <v>46203</v>
      </c>
      <c r="D218" t="inlineStr">
        <is>
          <t>VÄSTRA GÖTALANDS LÄN</t>
        </is>
      </c>
      <c r="E218" t="inlineStr">
        <is>
          <t>SKÖVDE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26914-2026</t>
        </is>
      </c>
      <c r="B219" s="1" t="n">
        <v>46185</v>
      </c>
      <c r="C219" s="1" t="n">
        <v>46203</v>
      </c>
      <c r="D219" t="inlineStr">
        <is>
          <t>VÄSTRA GÖTALANDS LÄN</t>
        </is>
      </c>
      <c r="E219" t="inlineStr">
        <is>
          <t>SKÖVDE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21687-2026</t>
        </is>
      </c>
      <c r="B220" s="1" t="n">
        <v>46149</v>
      </c>
      <c r="C220" s="1" t="n">
        <v>46203</v>
      </c>
      <c r="D220" t="inlineStr">
        <is>
          <t>VÄSTRA GÖTALANDS LÄN</t>
        </is>
      </c>
      <c r="E220" t="inlineStr">
        <is>
          <t>SKÖVDE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2901-2026</t>
        </is>
      </c>
      <c r="B221" s="1" t="n">
        <v>46038</v>
      </c>
      <c r="C221" s="1" t="n">
        <v>46203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26699-2022</t>
        </is>
      </c>
      <c r="B222" s="1" t="n">
        <v>44739</v>
      </c>
      <c r="C222" s="1" t="n">
        <v>46203</v>
      </c>
      <c r="D222" t="inlineStr">
        <is>
          <t>VÄSTRA GÖTALANDS LÄN</t>
        </is>
      </c>
      <c r="E222" t="inlineStr">
        <is>
          <t>SKÖVDE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7869-2025</t>
        </is>
      </c>
      <c r="B223" s="1" t="n">
        <v>45706</v>
      </c>
      <c r="C223" s="1" t="n">
        <v>46203</v>
      </c>
      <c r="D223" t="inlineStr">
        <is>
          <t>VÄSTRA GÖTALANDS LÄN</t>
        </is>
      </c>
      <c r="E223" t="inlineStr">
        <is>
          <t>SKÖVDE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10559-2025</t>
        </is>
      </c>
      <c r="B224" s="1" t="n">
        <v>45721</v>
      </c>
      <c r="C224" s="1" t="n">
        <v>46203</v>
      </c>
      <c r="D224" t="inlineStr">
        <is>
          <t>VÄSTRA GÖTALANDS LÄN</t>
        </is>
      </c>
      <c r="E224" t="inlineStr">
        <is>
          <t>SKÖVDE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60587-2023</t>
        </is>
      </c>
      <c r="B225" s="1" t="n">
        <v>45259</v>
      </c>
      <c r="C225" s="1" t="n">
        <v>46203</v>
      </c>
      <c r="D225" t="inlineStr">
        <is>
          <t>VÄSTRA GÖTALANDS LÄN</t>
        </is>
      </c>
      <c r="E225" t="inlineStr">
        <is>
          <t>SKÖVDE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20190-2026</t>
        </is>
      </c>
      <c r="B226" s="1" t="n">
        <v>46139</v>
      </c>
      <c r="C226" s="1" t="n">
        <v>46203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29177-2026</t>
        </is>
      </c>
      <c r="B227" s="1" t="n">
        <v>46202</v>
      </c>
      <c r="C227" s="1" t="n">
        <v>46203</v>
      </c>
      <c r="D227" t="inlineStr">
        <is>
          <t>VÄSTRA GÖTALANDS LÄN</t>
        </is>
      </c>
      <c r="E227" t="inlineStr">
        <is>
          <t>SKÖVDE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36556-2022</t>
        </is>
      </c>
      <c r="B228" s="1" t="n">
        <v>44804</v>
      </c>
      <c r="C228" s="1" t="n">
        <v>46203</v>
      </c>
      <c r="D228" t="inlineStr">
        <is>
          <t>VÄSTRA GÖTALANDS LÄN</t>
        </is>
      </c>
      <c r="E228" t="inlineStr">
        <is>
          <t>SKÖVDE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26737-2023</t>
        </is>
      </c>
      <c r="B229" s="1" t="n">
        <v>45093</v>
      </c>
      <c r="C229" s="1" t="n">
        <v>46203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51886-2021</t>
        </is>
      </c>
      <c r="B230" s="1" t="n">
        <v>44462</v>
      </c>
      <c r="C230" s="1" t="n">
        <v>46203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5308-2023</t>
        </is>
      </c>
      <c r="B231" s="1" t="n">
        <v>44959</v>
      </c>
      <c r="C231" s="1" t="n">
        <v>46203</v>
      </c>
      <c r="D231" t="inlineStr">
        <is>
          <t>VÄSTRA GÖTALANDS LÄN</t>
        </is>
      </c>
      <c r="E231" t="inlineStr">
        <is>
          <t>SKÖVDE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17798-2024</t>
        </is>
      </c>
      <c r="B232" s="1" t="n">
        <v>45418</v>
      </c>
      <c r="C232" s="1" t="n">
        <v>46203</v>
      </c>
      <c r="D232" t="inlineStr">
        <is>
          <t>VÄSTRA GÖTALANDS LÄN</t>
        </is>
      </c>
      <c r="E232" t="inlineStr">
        <is>
          <t>SKÖVDE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5466-2025</t>
        </is>
      </c>
      <c r="B233" s="1" t="n">
        <v>45693</v>
      </c>
      <c r="C233" s="1" t="n">
        <v>46203</v>
      </c>
      <c r="D233" t="inlineStr">
        <is>
          <t>VÄSTRA GÖTALANDS LÄN</t>
        </is>
      </c>
      <c r="E233" t="inlineStr">
        <is>
          <t>SKÖVDE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1636-2024</t>
        </is>
      </c>
      <c r="B234" s="1" t="n">
        <v>45306</v>
      </c>
      <c r="C234" s="1" t="n">
        <v>46203</v>
      </c>
      <c r="D234" t="inlineStr">
        <is>
          <t>VÄSTRA GÖTALANDS LÄN</t>
        </is>
      </c>
      <c r="E234" t="inlineStr">
        <is>
          <t>SKÖVDE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37204-2024</t>
        </is>
      </c>
      <c r="B235" s="1" t="n">
        <v>45539</v>
      </c>
      <c r="C235" s="1" t="n">
        <v>46203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40374-2023</t>
        </is>
      </c>
      <c r="B236" s="1" t="n">
        <v>45169</v>
      </c>
      <c r="C236" s="1" t="n">
        <v>46203</v>
      </c>
      <c r="D236" t="inlineStr">
        <is>
          <t>VÄSTRA GÖTALANDS LÄN</t>
        </is>
      </c>
      <c r="E236" t="inlineStr">
        <is>
          <t>SKÖVDE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41722-2024</t>
        </is>
      </c>
      <c r="B237" s="1" t="n">
        <v>45560</v>
      </c>
      <c r="C237" s="1" t="n">
        <v>46203</v>
      </c>
      <c r="D237" t="inlineStr">
        <is>
          <t>VÄSTRA GÖTALANDS LÄN</t>
        </is>
      </c>
      <c r="E237" t="inlineStr">
        <is>
          <t>SKÖVDE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48338-2024</t>
        </is>
      </c>
      <c r="B238" s="1" t="n">
        <v>45590</v>
      </c>
      <c r="C238" s="1" t="n">
        <v>46203</v>
      </c>
      <c r="D238" t="inlineStr">
        <is>
          <t>VÄSTRA GÖTALANDS LÄN</t>
        </is>
      </c>
      <c r="E238" t="inlineStr">
        <is>
          <t>SKÖVDE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53740-2023</t>
        </is>
      </c>
      <c r="B239" s="1" t="n">
        <v>45230</v>
      </c>
      <c r="C239" s="1" t="n">
        <v>46203</v>
      </c>
      <c r="D239" t="inlineStr">
        <is>
          <t>VÄSTRA GÖTALANDS LÄN</t>
        </is>
      </c>
      <c r="E239" t="inlineStr">
        <is>
          <t>SKÖVDE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38750-2023</t>
        </is>
      </c>
      <c r="B240" s="1" t="n">
        <v>45163</v>
      </c>
      <c r="C240" s="1" t="n">
        <v>46203</v>
      </c>
      <c r="D240" t="inlineStr">
        <is>
          <t>VÄSTRA GÖTALANDS LÄN</t>
        </is>
      </c>
      <c r="E240" t="inlineStr">
        <is>
          <t>SKÖVDE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12942-2024</t>
        </is>
      </c>
      <c r="B241" s="1" t="n">
        <v>45385</v>
      </c>
      <c r="C241" s="1" t="n">
        <v>46203</v>
      </c>
      <c r="D241" t="inlineStr">
        <is>
          <t>VÄSTRA GÖTALANDS LÄN</t>
        </is>
      </c>
      <c r="E241" t="inlineStr">
        <is>
          <t>SKÖVDE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47900-2023</t>
        </is>
      </c>
      <c r="B242" s="1" t="n">
        <v>45204</v>
      </c>
      <c r="C242" s="1" t="n">
        <v>46203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15952-2025</t>
        </is>
      </c>
      <c r="B243" s="1" t="n">
        <v>45749</v>
      </c>
      <c r="C243" s="1" t="n">
        <v>46203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38048-2022</t>
        </is>
      </c>
      <c r="B244" s="1" t="n">
        <v>44811</v>
      </c>
      <c r="C244" s="1" t="n">
        <v>46203</v>
      </c>
      <c r="D244" t="inlineStr">
        <is>
          <t>VÄSTRA GÖTALANDS LÄN</t>
        </is>
      </c>
      <c r="E244" t="inlineStr">
        <is>
          <t>SKÖVDE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34528-2023</t>
        </is>
      </c>
      <c r="B245" s="1" t="n">
        <v>45134</v>
      </c>
      <c r="C245" s="1" t="n">
        <v>46203</v>
      </c>
      <c r="D245" t="inlineStr">
        <is>
          <t>VÄSTRA GÖTALANDS LÄN</t>
        </is>
      </c>
      <c r="E245" t="inlineStr">
        <is>
          <t>SKÖVDE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5714-2025</t>
        </is>
      </c>
      <c r="B246" s="1" t="n">
        <v>45694</v>
      </c>
      <c r="C246" s="1" t="n">
        <v>46203</v>
      </c>
      <c r="D246" t="inlineStr">
        <is>
          <t>VÄSTRA GÖTALANDS LÄN</t>
        </is>
      </c>
      <c r="E246" t="inlineStr">
        <is>
          <t>SKÖVDE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49416-2023</t>
        </is>
      </c>
      <c r="B247" s="1" t="n">
        <v>45211</v>
      </c>
      <c r="C247" s="1" t="n">
        <v>46203</v>
      </c>
      <c r="D247" t="inlineStr">
        <is>
          <t>VÄSTRA GÖTALANDS LÄN</t>
        </is>
      </c>
      <c r="E247" t="inlineStr">
        <is>
          <t>SKÖVDE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3670-2022</t>
        </is>
      </c>
      <c r="B248" s="1" t="n">
        <v>44586</v>
      </c>
      <c r="C248" s="1" t="n">
        <v>46203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950-2024</t>
        </is>
      </c>
      <c r="B249" s="1" t="n">
        <v>45301</v>
      </c>
      <c r="C249" s="1" t="n">
        <v>46203</v>
      </c>
      <c r="D249" t="inlineStr">
        <is>
          <t>VÄSTRA GÖTALANDS LÄN</t>
        </is>
      </c>
      <c r="E249" t="inlineStr">
        <is>
          <t>SKÖVDE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34834-2022</t>
        </is>
      </c>
      <c r="B250" s="1" t="n">
        <v>44796</v>
      </c>
      <c r="C250" s="1" t="n">
        <v>46203</v>
      </c>
      <c r="D250" t="inlineStr">
        <is>
          <t>VÄSTRA GÖTALANDS LÄN</t>
        </is>
      </c>
      <c r="E250" t="inlineStr">
        <is>
          <t>SKÖVDE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12162-2022</t>
        </is>
      </c>
      <c r="B251" s="1" t="n">
        <v>44636</v>
      </c>
      <c r="C251" s="1" t="n">
        <v>46203</v>
      </c>
      <c r="D251" t="inlineStr">
        <is>
          <t>VÄSTRA GÖTALANDS LÄN</t>
        </is>
      </c>
      <c r="E251" t="inlineStr">
        <is>
          <t>SKÖVDE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13901-2025</t>
        </is>
      </c>
      <c r="B252" s="1" t="n">
        <v>45737</v>
      </c>
      <c r="C252" s="1" t="n">
        <v>46203</v>
      </c>
      <c r="D252" t="inlineStr">
        <is>
          <t>VÄSTRA GÖTALANDS LÄN</t>
        </is>
      </c>
      <c r="E252" t="inlineStr">
        <is>
          <t>SKÖVDE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59053-2024</t>
        </is>
      </c>
      <c r="B253" s="1" t="n">
        <v>45636</v>
      </c>
      <c r="C253" s="1" t="n">
        <v>46203</v>
      </c>
      <c r="D253" t="inlineStr">
        <is>
          <t>VÄSTRA GÖTALANDS LÄN</t>
        </is>
      </c>
      <c r="E253" t="inlineStr">
        <is>
          <t>SKÖVDE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6598-2022</t>
        </is>
      </c>
      <c r="B254" s="1" t="n">
        <v>44601</v>
      </c>
      <c r="C254" s="1" t="n">
        <v>46203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40105-2021</t>
        </is>
      </c>
      <c r="B255" s="1" t="n">
        <v>44418</v>
      </c>
      <c r="C255" s="1" t="n">
        <v>46203</v>
      </c>
      <c r="D255" t="inlineStr">
        <is>
          <t>VÄSTRA GÖTALANDS LÄN</t>
        </is>
      </c>
      <c r="E255" t="inlineStr">
        <is>
          <t>SKÖVDE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5808-2023</t>
        </is>
      </c>
      <c r="B256" s="1" t="n">
        <v>44963</v>
      </c>
      <c r="C256" s="1" t="n">
        <v>46203</v>
      </c>
      <c r="D256" t="inlineStr">
        <is>
          <t>VÄSTRA GÖTALANDS LÄN</t>
        </is>
      </c>
      <c r="E256" t="inlineStr">
        <is>
          <t>SKÖVDE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6224-2022</t>
        </is>
      </c>
      <c r="B257" s="1" t="n">
        <v>44600</v>
      </c>
      <c r="C257" s="1" t="n">
        <v>46203</v>
      </c>
      <c r="D257" t="inlineStr">
        <is>
          <t>VÄSTRA GÖTALANDS LÄN</t>
        </is>
      </c>
      <c r="E257" t="inlineStr">
        <is>
          <t>SKÖVDE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62269-2023</t>
        </is>
      </c>
      <c r="B258" s="1" t="n">
        <v>45267</v>
      </c>
      <c r="C258" s="1" t="n">
        <v>46203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34248-2023</t>
        </is>
      </c>
      <c r="B259" s="1" t="n">
        <v>45138</v>
      </c>
      <c r="C259" s="1" t="n">
        <v>46203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14552-2023</t>
        </is>
      </c>
      <c r="B260" s="1" t="n">
        <v>45013</v>
      </c>
      <c r="C260" s="1" t="n">
        <v>46203</v>
      </c>
      <c r="D260" t="inlineStr">
        <is>
          <t>VÄSTRA GÖTALANDS LÄN</t>
        </is>
      </c>
      <c r="E260" t="inlineStr">
        <is>
          <t>SKÖVDE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67134-2021</t>
        </is>
      </c>
      <c r="B261" s="1" t="n">
        <v>44523</v>
      </c>
      <c r="C261" s="1" t="n">
        <v>46203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29248-2023</t>
        </is>
      </c>
      <c r="B262" s="1" t="n">
        <v>45105</v>
      </c>
      <c r="C262" s="1" t="n">
        <v>46203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4237-2024</t>
        </is>
      </c>
      <c r="B263" s="1" t="n">
        <v>45324</v>
      </c>
      <c r="C263" s="1" t="n">
        <v>46203</v>
      </c>
      <c r="D263" t="inlineStr">
        <is>
          <t>VÄSTRA GÖTALANDS LÄN</t>
        </is>
      </c>
      <c r="E263" t="inlineStr">
        <is>
          <t>SKÖVDE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25168-2023</t>
        </is>
      </c>
      <c r="B264" s="1" t="n">
        <v>45086</v>
      </c>
      <c r="C264" s="1" t="n">
        <v>46203</v>
      </c>
      <c r="D264" t="inlineStr">
        <is>
          <t>VÄSTRA GÖTALANDS LÄN</t>
        </is>
      </c>
      <c r="E264" t="inlineStr">
        <is>
          <t>SKÖVDE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60117-2021</t>
        </is>
      </c>
      <c r="B265" s="1" t="n">
        <v>44495</v>
      </c>
      <c r="C265" s="1" t="n">
        <v>46203</v>
      </c>
      <c r="D265" t="inlineStr">
        <is>
          <t>VÄSTRA GÖTALANDS LÄN</t>
        </is>
      </c>
      <c r="E265" t="inlineStr">
        <is>
          <t>SKÖVDE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35280-2024</t>
        </is>
      </c>
      <c r="B266" s="1" t="n">
        <v>45530</v>
      </c>
      <c r="C266" s="1" t="n">
        <v>46203</v>
      </c>
      <c r="D266" t="inlineStr">
        <is>
          <t>VÄSTRA GÖTALANDS LÄN</t>
        </is>
      </c>
      <c r="E266" t="inlineStr">
        <is>
          <t>SKÖVDE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49300-2023</t>
        </is>
      </c>
      <c r="B267" s="1" t="n">
        <v>45210</v>
      </c>
      <c r="C267" s="1" t="n">
        <v>46203</v>
      </c>
      <c r="D267" t="inlineStr">
        <is>
          <t>VÄSTRA GÖTALANDS LÄN</t>
        </is>
      </c>
      <c r="E267" t="inlineStr">
        <is>
          <t>SKÖVDE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3481-2024</t>
        </is>
      </c>
      <c r="B268" s="1" t="n">
        <v>45320</v>
      </c>
      <c r="C268" s="1" t="n">
        <v>46203</v>
      </c>
      <c r="D268" t="inlineStr">
        <is>
          <t>VÄSTRA GÖTALANDS LÄN</t>
        </is>
      </c>
      <c r="E268" t="inlineStr">
        <is>
          <t>SKÖVDE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46401-2023</t>
        </is>
      </c>
      <c r="B269" s="1" t="n">
        <v>45197</v>
      </c>
      <c r="C269" s="1" t="n">
        <v>46203</v>
      </c>
      <c r="D269" t="inlineStr">
        <is>
          <t>VÄSTRA GÖTALANDS LÄN</t>
        </is>
      </c>
      <c r="E269" t="inlineStr">
        <is>
          <t>SKÖVDE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4600-2025</t>
        </is>
      </c>
      <c r="B270" s="1" t="n">
        <v>45687</v>
      </c>
      <c r="C270" s="1" t="n">
        <v>46203</v>
      </c>
      <c r="D270" t="inlineStr">
        <is>
          <t>VÄSTRA GÖTALANDS LÄN</t>
        </is>
      </c>
      <c r="E270" t="inlineStr">
        <is>
          <t>SKÖVDE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49954-2023</t>
        </is>
      </c>
      <c r="B271" s="1" t="n">
        <v>45215</v>
      </c>
      <c r="C271" s="1" t="n">
        <v>46203</v>
      </c>
      <c r="D271" t="inlineStr">
        <is>
          <t>VÄSTRA GÖTALANDS LÄN</t>
        </is>
      </c>
      <c r="E271" t="inlineStr">
        <is>
          <t>SKÖVDE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27671-2022</t>
        </is>
      </c>
      <c r="B272" s="1" t="n">
        <v>44743</v>
      </c>
      <c r="C272" s="1" t="n">
        <v>46203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7870-2025</t>
        </is>
      </c>
      <c r="B273" s="1" t="n">
        <v>45706</v>
      </c>
      <c r="C273" s="1" t="n">
        <v>46203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24476-2023</t>
        </is>
      </c>
      <c r="B274" s="1" t="n">
        <v>45082</v>
      </c>
      <c r="C274" s="1" t="n">
        <v>46203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14624-2025</t>
        </is>
      </c>
      <c r="B275" s="1" t="n">
        <v>45742</v>
      </c>
      <c r="C275" s="1" t="n">
        <v>46203</v>
      </c>
      <c r="D275" t="inlineStr">
        <is>
          <t>VÄSTRA GÖTALANDS LÄN</t>
        </is>
      </c>
      <c r="E275" t="inlineStr">
        <is>
          <t>SKÖVDE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26733-2023</t>
        </is>
      </c>
      <c r="B276" s="1" t="n">
        <v>45093</v>
      </c>
      <c r="C276" s="1" t="n">
        <v>46203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2026-06-30T00:58:26Z</dcterms:created>
  <dcterms:modified xmlns:dcterms="http://purl.org/dc/terms/" xmlns:xsi="http://www.w3.org/2001/XMLSchema-instance" xsi:type="dcterms:W3CDTF">2026-06-30T00:58:27Z</dcterms:modified>
</cp:coreProperties>
</file>