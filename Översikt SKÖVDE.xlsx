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46236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46236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46236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46236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46236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46236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46236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46236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5177-2022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44594</v>
      </c>
      <c r="E15" s="1" t="n">
        <v>46236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0.5</v>
      </c>
      <c r="J15" t="n">
        <v>2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8</v>
      </c>
      <c r="U15" t="n">
        <v>7</v>
      </c>
      <c r="V15" s="2" t="inlineStr">
        <is>
          <t>Stor bockrot
Skogsbräsma
Spillkråka
Lopplummer (aggregat)</t>
        </is>
      </c>
      <c r="W15">
        <f>HYPERLINK("https://klasma.github.io/Logging_1496/artfynd/A 5177-2022 artfynd.xlsx", "A 5177-2022")</f>
        <v/>
      </c>
      <c r="X15">
        <f>HYPERLINK("https://klasma.github.io/Logging_1496/kartor/A 5177-2022 karta.png", "A 5177-2022")</f>
        <v/>
      </c>
      <c r="Y15">
        <f>HYPERLINK("https://klasma.github.io/Logging_1496/kartor_geotiff/A 5177-2022 georefererad karta.tif", "A 5177-2022")</f>
        <v/>
      </c>
      <c r="AA15">
        <f>HYPERLINK("https://klasma.github.io/Logging_1496/klagomål/A 5177-2022 FSC-klagomål.docx", "A 5177-2022")</f>
        <v/>
      </c>
      <c r="AB15">
        <f>HYPERLINK("https://klasma.github.io/Logging_1496/klagomålsmail/A 5177-2022 FSC-klagomål mail.docx", "A 5177-2022")</f>
        <v/>
      </c>
      <c r="AC15">
        <f>HYPERLINK("https://klasma.github.io/Logging_1496/tillsyn/A 5177-2022 tillsynsbegäran.docx", "A 5177-2022")</f>
        <v/>
      </c>
      <c r="AD15">
        <f>HYPERLINK("https://klasma.github.io/Logging_1496/tillsynsmail/A 5177-2022 tillsynsbegäran mail.docx", "A 5177-2022")</f>
        <v/>
      </c>
      <c r="AE15">
        <f>HYPERLINK("https://klasma.github.io/Logging_1496/fåglar/A 5177-2022 prioriterade fågelarter.docx", "A 5177-2022")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46236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46236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46236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46236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46236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46236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46236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46236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46236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46236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46236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46236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24996-2025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46236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Granbronssopp
Fjällig taggsvamp s.str.</t>
        </is>
      </c>
      <c r="W29">
        <f>HYPERLINK("https://klasma.github.io/Logging_1496/artfynd/A 24996-2025 artfynd.xlsx", "A 24996-2025")</f>
        <v/>
      </c>
      <c r="X29">
        <f>HYPERLINK("https://klasma.github.io/Logging_1496/kartor/A 24996-2025 karta.png", "A 24996-2025")</f>
        <v/>
      </c>
      <c r="Y29">
        <f>HYPERLINK("https://klasma.github.io/Logging_1496/kartor_geotiff/A 24996-2025 georefererad karta.tif", "A 24996-2025")</f>
        <v/>
      </c>
      <c r="AA29">
        <f>HYPERLINK("https://klasma.github.io/Logging_1496/klagomål/A 24996-2025 FSC-klagomål.docx", "A 24996-2025")</f>
        <v/>
      </c>
      <c r="AB29">
        <f>HYPERLINK("https://klasma.github.io/Logging_1496/klagomålsmail/A 24996-2025 FSC-klagomål mail.docx", "A 24996-2025")</f>
        <v/>
      </c>
      <c r="AC29">
        <f>HYPERLINK("https://klasma.github.io/Logging_1496/tillsyn/A 24996-2025 tillsynsbegäran.docx", "A 24996-2025")</f>
        <v/>
      </c>
      <c r="AD29">
        <f>HYPERLINK("https://klasma.github.io/Logging_1496/tillsynsmail/A 24996-2025 tillsynsbegäran mail.docx", "A 24996-2025")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46236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29222-2022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46236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Lundbräsma
Strutbräken</t>
        </is>
      </c>
      <c r="W31">
        <f>HYPERLINK("https://klasma.github.io/Logging_1496/artfynd/A 29222-2022 artfynd.xlsx", "A 29222-2022")</f>
        <v/>
      </c>
      <c r="X31">
        <f>HYPERLINK("https://klasma.github.io/Logging_1496/kartor/A 29222-2022 karta.png", "A 29222-2022")</f>
        <v/>
      </c>
      <c r="Y31">
        <f>HYPERLINK("https://klasma.github.io/Logging_1496/kartor_geotiff/A 29222-2022 georefererad karta.tif", "A 29222-2022")</f>
        <v/>
      </c>
      <c r="AA31">
        <f>HYPERLINK("https://klasma.github.io/Logging_1496/klagomål/A 29222-2022 FSC-klagomål.docx", "A 29222-2022")</f>
        <v/>
      </c>
      <c r="AB31">
        <f>HYPERLINK("https://klasma.github.io/Logging_1496/klagomålsmail/A 29222-2022 FSC-klagomål mail.docx", "A 29222-2022")</f>
        <v/>
      </c>
      <c r="AC31">
        <f>HYPERLINK("https://klasma.github.io/Logging_1496/tillsyn/A 29222-2022 tillsynsbegäran.docx", "A 29222-2022")</f>
        <v/>
      </c>
      <c r="AD31">
        <f>HYPERLINK("https://klasma.github.io/Logging_1496/tillsynsmail/A 29222-2022 tillsynsbegäran mail.docx", "A 29222-2022")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46236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46236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46236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46236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46236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46236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46236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46236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46236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46236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46236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46236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46236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17452-2023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45036</v>
      </c>
      <c r="E45" s="1" t="n">
        <v>46236</v>
      </c>
      <c r="F45" t="inlineStr">
        <is>
          <t>VÄSTRA GÖTALANDS LÄN</t>
        </is>
      </c>
      <c r="G45" t="inlineStr">
        <is>
          <t>SKÖVDE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17452-2023 artfynd.xlsx", "A 17452-2023")</f>
        <v/>
      </c>
      <c r="X45">
        <f>HYPERLINK("https://klasma.github.io/Logging_1496/kartor/A 17452-2023 karta.png", "A 17452-2023")</f>
        <v/>
      </c>
      <c r="Y45">
        <f>HYPERLINK("https://klasma.github.io/Logging_1496/kartor_geotiff/A 17452-2023 georefererad karta.tif", "A 17452-2023")</f>
        <v/>
      </c>
      <c r="AA45">
        <f>HYPERLINK("https://klasma.github.io/Logging_1496/klagomål/A 17452-2023 FSC-klagomål.docx", "A 17452-2023")</f>
        <v/>
      </c>
      <c r="AB45">
        <f>HYPERLINK("https://klasma.github.io/Logging_1496/klagomålsmail/A 17452-2023 FSC-klagomål mail.docx", "A 17452-2023")</f>
        <v/>
      </c>
      <c r="AC45">
        <f>HYPERLINK("https://klasma.github.io/Logging_1496/tillsyn/A 17452-2023 tillsynsbegäran.docx", "A 17452-2023")</f>
        <v/>
      </c>
      <c r="AD45">
        <f>HYPERLINK("https://klasma.github.io/Logging_1496/tillsynsmail/A 17452-2023 tillsynsbegäran mail.docx", "A 17452-2023")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46236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46236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46236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46236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46236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46236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35919-2023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46236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Svinrot</t>
        </is>
      </c>
      <c r="W52">
        <f>HYPERLINK("https://klasma.github.io/Logging_1496/artfynd/A 35919-2023 artfynd.xlsx", "A 35919-2023")</f>
        <v/>
      </c>
      <c r="X52">
        <f>HYPERLINK("https://klasma.github.io/Logging_1496/kartor/A 35919-2023 karta.png", "A 35919-2023")</f>
        <v/>
      </c>
      <c r="Y52">
        <f>HYPERLINK("https://klasma.github.io/Logging_1496/kartor_geotiff/A 35919-2023 georefererad karta.tif", "A 35919-2023")</f>
        <v/>
      </c>
      <c r="AA52">
        <f>HYPERLINK("https://klasma.github.io/Logging_1496/klagomål/A 35919-2023 FSC-klagomål.docx", "A 35919-2023")</f>
        <v/>
      </c>
      <c r="AB52">
        <f>HYPERLINK("https://klasma.github.io/Logging_1496/klagomålsmail/A 35919-2023 FSC-klagomål mail.docx", "A 35919-2023")</f>
        <v/>
      </c>
      <c r="AC52">
        <f>HYPERLINK("https://klasma.github.io/Logging_1496/tillsyn/A 35919-2023 tillsynsbegäran.docx", "A 35919-2023")</f>
        <v/>
      </c>
      <c r="AD52">
        <f>HYPERLINK("https://klasma.github.io/Logging_1496/tillsynsmail/A 35919-2023 tillsynsbegäran mail.docx", "A 35919-2023")</f>
        <v/>
      </c>
    </row>
    <row r="53" ht="15" customHeight="1">
      <c r="A53" t="inlineStr">
        <is>
          <t>A 29011-2023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46236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5.4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29011-2023 artfynd.xlsx", "A 29011-2023")</f>
        <v/>
      </c>
      <c r="X53">
        <f>HYPERLINK("https://klasma.github.io/Logging_1496/kartor/A 29011-2023 karta.png", "A 29011-2023")</f>
        <v/>
      </c>
      <c r="Y53">
        <f>HYPERLINK("https://klasma.github.io/Logging_1496/kartor_geotiff/A 29011-2023 georefererad karta.tif", "A 29011-2023")</f>
        <v/>
      </c>
      <c r="AA53">
        <f>HYPERLINK("https://klasma.github.io/Logging_1496/klagomål/A 29011-2023 FSC-klagomål.docx", "A 29011-2023")</f>
        <v/>
      </c>
      <c r="AB53">
        <f>HYPERLINK("https://klasma.github.io/Logging_1496/klagomålsmail/A 29011-2023 FSC-klagomål mail.docx", "A 29011-2023")</f>
        <v/>
      </c>
      <c r="AC53">
        <f>HYPERLINK("https://klasma.github.io/Logging_1496/tillsyn/A 29011-2023 tillsynsbegäran.docx", "A 29011-2023")</f>
        <v/>
      </c>
      <c r="AD53">
        <f>HYPERLINK("https://klasma.github.io/Logging_1496/tillsynsmail/A 29011-2023 tillsynsbegäran mail.docx", "A 29011-2023")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46236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46236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15417-2023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46236</v>
      </c>
      <c r="F56" t="inlineStr">
        <is>
          <t>VÄSTRA GÖTALANDS LÄN</t>
        </is>
      </c>
      <c r="G56" t="inlineStr">
        <is>
          <t>SKÖVDE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Gullpudra</t>
        </is>
      </c>
      <c r="W56">
        <f>HYPERLINK("https://klasma.github.io/Logging_1496/artfynd/A 15417-2023 artfynd.xlsx", "A 15417-2023")</f>
        <v/>
      </c>
      <c r="X56">
        <f>HYPERLINK("https://klasma.github.io/Logging_1496/kartor/A 15417-2023 karta.png", "A 15417-2023")</f>
        <v/>
      </c>
      <c r="Y56">
        <f>HYPERLINK("https://klasma.github.io/Logging_1496/kartor_geotiff/A 15417-2023 georefererad karta.tif", "A 15417-2023")</f>
        <v/>
      </c>
      <c r="AA56">
        <f>HYPERLINK("https://klasma.github.io/Logging_1496/klagomål/A 15417-2023 FSC-klagomål.docx", "A 15417-2023")</f>
        <v/>
      </c>
      <c r="AB56">
        <f>HYPERLINK("https://klasma.github.io/Logging_1496/klagomålsmail/A 15417-2023 FSC-klagomål mail.docx", "A 15417-2023")</f>
        <v/>
      </c>
      <c r="AC56">
        <f>HYPERLINK("https://klasma.github.io/Logging_1496/tillsyn/A 15417-2023 tillsynsbegäran.docx", "A 15417-2023")</f>
        <v/>
      </c>
      <c r="AD56">
        <f>HYPERLINK("https://klasma.github.io/Logging_1496/tillsynsmail/A 15417-2023 tillsynsbegäran mail.docx", "A 15417-2023")</f>
        <v/>
      </c>
    </row>
    <row r="57" ht="15" customHeight="1">
      <c r="A57" t="inlineStr">
        <is>
          <t>A 4464-2026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46236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Myskmadra</t>
        </is>
      </c>
      <c r="W57">
        <f>HYPERLINK("https://klasma.github.io/Logging_1496/artfynd/A 4464-2026 artfynd.xlsx", "A 4464-2026")</f>
        <v/>
      </c>
      <c r="X57">
        <f>HYPERLINK("https://klasma.github.io/Logging_1496/kartor/A 4464-2026 karta.png", "A 4464-2026")</f>
        <v/>
      </c>
      <c r="Y57">
        <f>HYPERLINK("https://klasma.github.io/Logging_1496/kartor_geotiff/A 4464-2026 georefererad karta.tif", "A 4464-2026")</f>
        <v/>
      </c>
      <c r="AA57">
        <f>HYPERLINK("https://klasma.github.io/Logging_1496/klagomål/A 4464-2026 FSC-klagomål.docx", "A 4464-2026")</f>
        <v/>
      </c>
      <c r="AB57">
        <f>HYPERLINK("https://klasma.github.io/Logging_1496/klagomålsmail/A 4464-2026 FSC-klagomål mail.docx", "A 4464-2026")</f>
        <v/>
      </c>
      <c r="AC57">
        <f>HYPERLINK("https://klasma.github.io/Logging_1496/tillsyn/A 4464-2026 tillsynsbegäran.docx", "A 4464-2026")</f>
        <v/>
      </c>
      <c r="AD57">
        <f>HYPERLINK("https://klasma.github.io/Logging_1496/tillsynsmail/A 4464-2026 tillsynsbegäran mail.docx", "A 4464-2026")</f>
        <v/>
      </c>
    </row>
    <row r="58" ht="15" customHeight="1">
      <c r="A58" t="inlineStr">
        <is>
          <t>A 10602-2023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44988</v>
      </c>
      <c r="E58" s="1" t="n">
        <v>46236</v>
      </c>
      <c r="F58" t="inlineStr">
        <is>
          <t>VÄSTRA GÖTALANDS LÄN</t>
        </is>
      </c>
      <c r="G58" t="inlineStr">
        <is>
          <t>SKÖVDE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10602-2023 artfynd.xlsx", "A 10602-2023")</f>
        <v/>
      </c>
      <c r="X58">
        <f>HYPERLINK("https://klasma.github.io/Logging_1496/kartor/A 10602-2023 karta.png", "A 10602-2023")</f>
        <v/>
      </c>
      <c r="Y58">
        <f>HYPERLINK("https://klasma.github.io/Logging_1496/kartor_geotiff/A 10602-2023 georefererad karta.tif", "A 10602-2023")</f>
        <v/>
      </c>
      <c r="AA58">
        <f>HYPERLINK("https://klasma.github.io/Logging_1496/klagomål/A 10602-2023 FSC-klagomål.docx", "A 10602-2023")</f>
        <v/>
      </c>
      <c r="AB58">
        <f>HYPERLINK("https://klasma.github.io/Logging_1496/klagomålsmail/A 10602-2023 FSC-klagomål mail.docx", "A 10602-2023")</f>
        <v/>
      </c>
      <c r="AC58">
        <f>HYPERLINK("https://klasma.github.io/Logging_1496/tillsyn/A 10602-2023 tillsynsbegäran.docx", "A 10602-2023")</f>
        <v/>
      </c>
      <c r="AD58">
        <f>HYPERLINK("https://klasma.github.io/Logging_1496/tillsynsmail/A 10602-2023 tillsynsbegäran mail.docx", "A 10602-2023")</f>
        <v/>
      </c>
    </row>
    <row r="59" ht="15" customHeight="1">
      <c r="A59" t="inlineStr">
        <is>
          <t>A 6093-2026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46052</v>
      </c>
      <c r="E59" s="1" t="n">
        <v>46236</v>
      </c>
      <c r="F59" t="inlineStr">
        <is>
          <t>VÄSTRA GÖTALANDS LÄN</t>
        </is>
      </c>
      <c r="G59" t="inlineStr">
        <is>
          <t>SKÖVDE</t>
        </is>
      </c>
      <c r="I59" t="n">
        <v>5.8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Svinrot</t>
        </is>
      </c>
      <c r="W59">
        <f>HYPERLINK("https://klasma.github.io/Logging_1496/artfynd/A 6093-2026 artfynd.xlsx", "A 6093-2026")</f>
        <v/>
      </c>
      <c r="X59">
        <f>HYPERLINK("https://klasma.github.io/Logging_1496/kartor/A 6093-2026 karta.png", "A 6093-2026")</f>
        <v/>
      </c>
      <c r="Y59">
        <f>HYPERLINK("https://klasma.github.io/Logging_1496/kartor_geotiff/A 6093-2026 georefererad karta.tif", "A 6093-2026")</f>
        <v/>
      </c>
      <c r="AA59">
        <f>HYPERLINK("https://klasma.github.io/Logging_1496/klagomål/A 6093-2026 FSC-klagomål.docx", "A 6093-2026")</f>
        <v/>
      </c>
      <c r="AB59">
        <f>HYPERLINK("https://klasma.github.io/Logging_1496/klagomålsmail/A 6093-2026 FSC-klagomål mail.docx", "A 6093-2026")</f>
        <v/>
      </c>
      <c r="AC59">
        <f>HYPERLINK("https://klasma.github.io/Logging_1496/tillsyn/A 6093-2026 tillsynsbegäran.docx", "A 6093-2026")</f>
        <v/>
      </c>
      <c r="AD59">
        <f>HYPERLINK("https://klasma.github.io/Logging_1496/tillsynsmail/A 6093-2026 tillsynsbegäran mail.docx", "A 6093-2026")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46236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47898-2023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45204</v>
      </c>
      <c r="E61" s="1" t="n">
        <v>46236</v>
      </c>
      <c r="F61" t="inlineStr">
        <is>
          <t>VÄSTRA GÖTALANDS LÄN</t>
        </is>
      </c>
      <c r="G61" t="inlineStr">
        <is>
          <t>SKÖVDE</t>
        </is>
      </c>
      <c r="I61" t="n">
        <v>9.5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Karminticka</t>
        </is>
      </c>
      <c r="W61">
        <f>HYPERLINK("https://klasma.github.io/Logging_1496/artfynd/A 47898-2023 artfynd.xlsx", "A 47898-2023")</f>
        <v/>
      </c>
      <c r="X61">
        <f>HYPERLINK("https://klasma.github.io/Logging_1496/kartor/A 47898-2023 karta.png", "A 47898-2023")</f>
        <v/>
      </c>
      <c r="Y61">
        <f>HYPERLINK("https://klasma.github.io/Logging_1496/kartor_geotiff/A 47898-2023 georefererad karta.tif", "A 47898-2023")</f>
        <v/>
      </c>
      <c r="AA61">
        <f>HYPERLINK("https://klasma.github.io/Logging_1496/klagomål/A 47898-2023 FSC-klagomål.docx", "A 47898-2023")</f>
        <v/>
      </c>
      <c r="AB61">
        <f>HYPERLINK("https://klasma.github.io/Logging_1496/klagomålsmail/A 47898-2023 FSC-klagomål mail.docx", "A 47898-2023")</f>
        <v/>
      </c>
      <c r="AC61">
        <f>HYPERLINK("https://klasma.github.io/Logging_1496/tillsyn/A 47898-2023 tillsynsbegäran.docx", "A 47898-2023")</f>
        <v/>
      </c>
      <c r="AD61">
        <f>HYPERLINK("https://klasma.github.io/Logging_1496/tillsynsmail/A 47898-2023 tillsynsbegäran mail.docx", "A 47898-2023")</f>
        <v/>
      </c>
    </row>
    <row r="62" ht="15" customHeight="1">
      <c r="A62" t="inlineStr">
        <is>
          <t>A 52377-2023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46236</v>
      </c>
      <c r="F62" t="inlineStr">
        <is>
          <t>VÄSTRA GÖTALANDS LÄN</t>
        </is>
      </c>
      <c r="G62" t="inlineStr">
        <is>
          <t>SKÖVDE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Kransrams</t>
        </is>
      </c>
      <c r="W62">
        <f>HYPERLINK("https://klasma.github.io/Logging_1496/artfynd/A 52377-2023 artfynd.xlsx", "A 52377-2023")</f>
        <v/>
      </c>
      <c r="X62">
        <f>HYPERLINK("https://klasma.github.io/Logging_1496/kartor/A 52377-2023 karta.png", "A 52377-2023")</f>
        <v/>
      </c>
      <c r="Y62">
        <f>HYPERLINK("https://klasma.github.io/Logging_1496/kartor_geotiff/A 52377-2023 georefererad karta.tif", "A 52377-2023")</f>
        <v/>
      </c>
      <c r="AA62">
        <f>HYPERLINK("https://klasma.github.io/Logging_1496/klagomål/A 52377-2023 FSC-klagomål.docx", "A 52377-2023")</f>
        <v/>
      </c>
      <c r="AB62">
        <f>HYPERLINK("https://klasma.github.io/Logging_1496/klagomålsmail/A 52377-2023 FSC-klagomål mail.docx", "A 52377-2023")</f>
        <v/>
      </c>
      <c r="AC62">
        <f>HYPERLINK("https://klasma.github.io/Logging_1496/tillsyn/A 52377-2023 tillsynsbegäran.docx", "A 52377-2023")</f>
        <v/>
      </c>
      <c r="AD62">
        <f>HYPERLINK("https://klasma.github.io/Logging_1496/tillsynsmail/A 52377-2023 tillsynsbegäran mail.docx", "A 52377-2023")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46236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46236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46236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46236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46236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46236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46236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46236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46236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46236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46236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46236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46236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46236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46236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46236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46236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46236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46236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44601</v>
      </c>
      <c r="E83" s="1" t="n">
        <v>46236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45314</v>
      </c>
      <c r="E84" s="1" t="n">
        <v>46236</v>
      </c>
      <c r="F84" t="inlineStr">
        <is>
          <t>VÄSTRA GÖTALANDS LÄN</t>
        </is>
      </c>
      <c r="G84" t="inlineStr">
        <is>
          <t>SKÖVDE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46236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44418</v>
      </c>
      <c r="E86" s="1" t="n">
        <v>46236</v>
      </c>
      <c r="F86" t="inlineStr">
        <is>
          <t>VÄSTRA GÖTALANDS LÄN</t>
        </is>
      </c>
      <c r="G86" t="inlineStr">
        <is>
          <t>SKÖVDE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46236</v>
      </c>
      <c r="F87" t="inlineStr">
        <is>
          <t>VÄSTRA GÖTALANDS LÄN</t>
        </is>
      </c>
      <c r="G87" t="inlineStr">
        <is>
          <t>SKÖVDE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46236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46236</v>
      </c>
      <c r="F89" t="inlineStr">
        <is>
          <t>VÄSTRA GÖTALANDS LÄN</t>
        </is>
      </c>
      <c r="G89" t="inlineStr">
        <is>
          <t>SKÖVDE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46236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46236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46236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46236</v>
      </c>
      <c r="F93" t="inlineStr">
        <is>
          <t>VÄSTRA GÖTALANDS LÄN</t>
        </is>
      </c>
      <c r="G93" t="inlineStr">
        <is>
          <t>SKÖVDE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37656-2023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46236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46236</v>
      </c>
      <c r="F95" t="inlineStr">
        <is>
          <t>VÄSTRA GÖTALANDS LÄN</t>
        </is>
      </c>
      <c r="G95" t="inlineStr">
        <is>
          <t>SKÖVDE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46236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46236</v>
      </c>
      <c r="F97" t="inlineStr">
        <is>
          <t>VÄSTRA GÖTALANDS LÄN</t>
        </is>
      </c>
      <c r="G97" t="inlineStr">
        <is>
          <t>SKÖVDE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46236</v>
      </c>
      <c r="F98" t="inlineStr">
        <is>
          <t>VÄSTRA GÖTALANDS LÄN</t>
        </is>
      </c>
      <c r="G98" t="inlineStr">
        <is>
          <t>SKÖVDE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46236</v>
      </c>
      <c r="F99" t="inlineStr">
        <is>
          <t>VÄSTRA GÖTALANDS LÄN</t>
        </is>
      </c>
      <c r="G99" t="inlineStr">
        <is>
          <t>SKÖVDE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46236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46236</v>
      </c>
      <c r="F101" t="inlineStr">
        <is>
          <t>VÄSTRA GÖTALANDS LÄN</t>
        </is>
      </c>
      <c r="G101" t="inlineStr">
        <is>
          <t>SKÖVDE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46236</v>
      </c>
      <c r="F102" t="inlineStr">
        <is>
          <t>VÄSTRA GÖTALANDS LÄN</t>
        </is>
      </c>
      <c r="G102" t="inlineStr">
        <is>
          <t>SKÖVDE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46236</v>
      </c>
      <c r="F103" t="inlineStr">
        <is>
          <t>VÄSTRA GÖTALANDS LÄN</t>
        </is>
      </c>
      <c r="G103" t="inlineStr">
        <is>
          <t>SKÖVDE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46236</v>
      </c>
      <c r="F104" t="inlineStr">
        <is>
          <t>VÄSTRA GÖTALANDS LÄN</t>
        </is>
      </c>
      <c r="G104" t="inlineStr">
        <is>
          <t>SKÖVDE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45138</v>
      </c>
      <c r="E105" s="1" t="n">
        <v>46236</v>
      </c>
      <c r="F105" t="inlineStr">
        <is>
          <t>VÄSTRA GÖTALANDS LÄN</t>
        </is>
      </c>
      <c r="G105" t="inlineStr">
        <is>
          <t>SKÖVDE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46236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46236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46236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46236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46236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46236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46236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46236</v>
      </c>
      <c r="F113" t="inlineStr">
        <is>
          <t>VÄSTRA GÖTALANDS LÄN</t>
        </is>
      </c>
      <c r="G113" t="inlineStr">
        <is>
          <t>SKÖVDE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46236</v>
      </c>
      <c r="F114" t="inlineStr">
        <is>
          <t>VÄSTRA GÖTALANDS LÄN</t>
        </is>
      </c>
      <c r="G114" t="inlineStr">
        <is>
          <t>SKÖVDE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46236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46236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46236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46236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46236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46236</v>
      </c>
      <c r="F120" t="inlineStr">
        <is>
          <t>VÄSTRA GÖTALANDS LÄN</t>
        </is>
      </c>
      <c r="G120" t="inlineStr">
        <is>
          <t>SKÖVDE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46236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46236</v>
      </c>
      <c r="F122" t="inlineStr">
        <is>
          <t>VÄSTRA GÖTALANDS LÄN</t>
        </is>
      </c>
      <c r="G122" t="inlineStr">
        <is>
          <t>SKÖVDE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46236</v>
      </c>
      <c r="F123" t="inlineStr">
        <is>
          <t>VÄSTRA GÖTALANDS LÄN</t>
        </is>
      </c>
      <c r="G123" t="inlineStr">
        <is>
          <t>SKÖVDE</t>
        </is>
      </c>
      <c r="I123" t="n">
        <v>9.199999999999999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46236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46236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46236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45013</v>
      </c>
      <c r="E127" s="1" t="n">
        <v>46236</v>
      </c>
      <c r="F127" t="inlineStr">
        <is>
          <t>VÄSTRA GÖTALANDS LÄN</t>
        </is>
      </c>
      <c r="G127" t="inlineStr">
        <is>
          <t>SKÖVDE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45439</v>
      </c>
      <c r="E128" s="1" t="n">
        <v>46236</v>
      </c>
      <c r="F128" t="inlineStr">
        <is>
          <t>VÄSTRA GÖTALANDS LÄN</t>
        </is>
      </c>
      <c r="G128" t="inlineStr">
        <is>
          <t>SKÖVDE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46236</v>
      </c>
      <c r="F129" t="inlineStr">
        <is>
          <t>VÄSTRA GÖTALANDS LÄN</t>
        </is>
      </c>
      <c r="G129" t="inlineStr">
        <is>
          <t>SKÖVDE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46236</v>
      </c>
      <c r="F130" t="inlineStr">
        <is>
          <t>VÄSTRA GÖTALANDS LÄN</t>
        </is>
      </c>
      <c r="G130" t="inlineStr">
        <is>
          <t>SKÖVDE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44750</v>
      </c>
      <c r="E131" s="1" t="n">
        <v>46236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46236</v>
      </c>
      <c r="F132" t="inlineStr">
        <is>
          <t>VÄSTRA GÖTALANDS LÄN</t>
        </is>
      </c>
      <c r="G132" t="inlineStr">
        <is>
          <t>SKÖVDE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46236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44420</v>
      </c>
      <c r="E134" s="1" t="n">
        <v>46236</v>
      </c>
      <c r="F134" t="inlineStr">
        <is>
          <t>VÄSTRA GÖTALANDS LÄN</t>
        </is>
      </c>
      <c r="G134" t="inlineStr">
        <is>
          <t>SKÖVDE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46236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46236</v>
      </c>
      <c r="F136" t="inlineStr">
        <is>
          <t>VÄSTRA GÖTALANDS LÄN</t>
        </is>
      </c>
      <c r="G136" t="inlineStr">
        <is>
          <t>SKÖVDE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46236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46236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46236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46236</v>
      </c>
      <c r="F140" t="inlineStr">
        <is>
          <t>VÄSTRA GÖTALANDS LÄN</t>
        </is>
      </c>
      <c r="G140" t="inlineStr">
        <is>
          <t>SKÖVDE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46236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46236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13669-2023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45006</v>
      </c>
      <c r="E143" s="1" t="n">
        <v>46236</v>
      </c>
      <c r="F143" t="inlineStr">
        <is>
          <t>VÄSTRA GÖTALANDS LÄN</t>
        </is>
      </c>
      <c r="G143" t="inlineStr">
        <is>
          <t>SKÖVDE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46236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46236</v>
      </c>
      <c r="F145" t="inlineStr">
        <is>
          <t>VÄSTRA GÖTALANDS LÄN</t>
        </is>
      </c>
      <c r="G145" t="inlineStr">
        <is>
          <t>SKÖVDE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46236</v>
      </c>
      <c r="F146" t="inlineStr">
        <is>
          <t>VÄSTRA GÖTALANDS LÄN</t>
        </is>
      </c>
      <c r="G146" t="inlineStr">
        <is>
          <t>SKÖVDE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46236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46236</v>
      </c>
      <c r="F148" t="inlineStr">
        <is>
          <t>VÄSTRA GÖTALANDS LÄN</t>
        </is>
      </c>
      <c r="G148" t="inlineStr">
        <is>
          <t>SKÖVDE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46236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45324</v>
      </c>
      <c r="E150" s="1" t="n">
        <v>46236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46236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46236</v>
      </c>
      <c r="F152" t="inlineStr">
        <is>
          <t>VÄSTRA GÖTALANDS LÄN</t>
        </is>
      </c>
      <c r="G152" t="inlineStr">
        <is>
          <t>SKÖVDE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46236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46236</v>
      </c>
      <c r="F154" t="inlineStr">
        <is>
          <t>VÄSTRA GÖTALANDS LÄN</t>
        </is>
      </c>
      <c r="G154" t="inlineStr">
        <is>
          <t>SKÖVDE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46236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46236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46236</v>
      </c>
      <c r="F157" t="inlineStr">
        <is>
          <t>VÄSTRA GÖTALANDS LÄN</t>
        </is>
      </c>
      <c r="G157" t="inlineStr">
        <is>
          <t>SKÖVDE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46236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46236</v>
      </c>
      <c r="F159" t="inlineStr">
        <is>
          <t>VÄSTRA GÖTALANDS LÄN</t>
        </is>
      </c>
      <c r="G159" t="inlineStr">
        <is>
          <t>SKÖVDE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46236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45267</v>
      </c>
      <c r="E161" s="1" t="n">
        <v>46236</v>
      </c>
      <c r="F161" t="inlineStr">
        <is>
          <t>VÄSTRA GÖTALANDS LÄN</t>
        </is>
      </c>
      <c r="G161" t="inlineStr">
        <is>
          <t>SKÖVDE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46236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46236</v>
      </c>
      <c r="F163" t="inlineStr">
        <is>
          <t>VÄSTRA GÖTALANDS LÄN</t>
        </is>
      </c>
      <c r="G163" t="inlineStr">
        <is>
          <t>SKÖVDE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60117-2021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44495</v>
      </c>
      <c r="E164" s="1" t="n">
        <v>46236</v>
      </c>
      <c r="F164" t="inlineStr">
        <is>
          <t>VÄSTRA GÖTALANDS LÄN</t>
        </is>
      </c>
      <c r="G164" t="inlineStr">
        <is>
          <t>SKÖVDE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46236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46236</v>
      </c>
      <c r="F166" t="inlineStr">
        <is>
          <t>VÄSTRA GÖTALANDS LÄN</t>
        </is>
      </c>
      <c r="G166" t="inlineStr">
        <is>
          <t>SKÖVDE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46236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46038</v>
      </c>
      <c r="E168" s="1" t="n">
        <v>46236</v>
      </c>
      <c r="F168" t="inlineStr">
        <is>
          <t>VÄSTRA GÖTALANDS LÄN</t>
        </is>
      </c>
      <c r="G168" t="inlineStr">
        <is>
          <t>SKÖVDE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46236</v>
      </c>
      <c r="F169" t="inlineStr">
        <is>
          <t>VÄSTRA GÖTALANDS LÄN</t>
        </is>
      </c>
      <c r="G169" t="inlineStr">
        <is>
          <t>SKÖVDE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46236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46236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46236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46236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46236</v>
      </c>
      <c r="F174" t="inlineStr">
        <is>
          <t>VÄSTRA GÖTALANDS LÄN</t>
        </is>
      </c>
      <c r="G174" t="inlineStr">
        <is>
          <t>SKÖVDE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46236</v>
      </c>
      <c r="F175" t="inlineStr">
        <is>
          <t>VÄSTRA GÖTALANDS LÄN</t>
        </is>
      </c>
      <c r="G175" t="inlineStr">
        <is>
          <t>SKÖVDE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46236</v>
      </c>
      <c r="F176" t="inlineStr">
        <is>
          <t>VÄSTRA GÖTALANDS LÄN</t>
        </is>
      </c>
      <c r="G176" t="inlineStr">
        <is>
          <t>SKÖVDE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46236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46236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35280-2024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45530</v>
      </c>
      <c r="E179" s="1" t="n">
        <v>46236</v>
      </c>
      <c r="F179" t="inlineStr">
        <is>
          <t>VÄSTRA GÖTALANDS LÄN</t>
        </is>
      </c>
      <c r="G179" t="inlineStr">
        <is>
          <t>SKÖVDE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46236</v>
      </c>
      <c r="F180" t="inlineStr">
        <is>
          <t>VÄSTRA GÖTALANDS LÄN</t>
        </is>
      </c>
      <c r="G180" t="inlineStr">
        <is>
          <t>SKÖVDE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46236</v>
      </c>
      <c r="F181" t="inlineStr">
        <is>
          <t>VÄSTRA GÖTALANDS LÄN</t>
        </is>
      </c>
      <c r="G181" t="inlineStr">
        <is>
          <t>SKÖVDE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45197</v>
      </c>
      <c r="E182" s="1" t="n">
        <v>46236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46017</v>
      </c>
      <c r="E183" s="1" t="n">
        <v>46236</v>
      </c>
      <c r="F183" t="inlineStr">
        <is>
          <t>VÄSTRA GÖTALANDS LÄN</t>
        </is>
      </c>
      <c r="G183" t="inlineStr">
        <is>
          <t>SKÖVDE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46236</v>
      </c>
      <c r="F184" t="inlineStr">
        <is>
          <t>VÄSTRA GÖTALANDS LÄN</t>
        </is>
      </c>
      <c r="G184" t="inlineStr">
        <is>
          <t>SKÖVDE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46236</v>
      </c>
      <c r="F185" t="inlineStr">
        <is>
          <t>VÄSTRA GÖTALANDS LÄN</t>
        </is>
      </c>
      <c r="G185" t="inlineStr">
        <is>
          <t>SKÖVDE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46236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46236</v>
      </c>
      <c r="F187" t="inlineStr">
        <is>
          <t>VÄSTRA GÖTALANDS LÄN</t>
        </is>
      </c>
      <c r="G187" t="inlineStr">
        <is>
          <t>SKÖVDE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46236</v>
      </c>
      <c r="F188" t="inlineStr">
        <is>
          <t>VÄSTRA GÖTALANDS LÄN</t>
        </is>
      </c>
      <c r="G188" t="inlineStr">
        <is>
          <t>SKÖVDE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45418</v>
      </c>
      <c r="E189" s="1" t="n">
        <v>46236</v>
      </c>
      <c r="F189" t="inlineStr">
        <is>
          <t>VÄSTRA GÖTALANDS LÄN</t>
        </is>
      </c>
      <c r="G189" t="inlineStr">
        <is>
          <t>SKÖVDE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46236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46236</v>
      </c>
      <c r="F191" t="inlineStr">
        <is>
          <t>VÄSTRA GÖTALANDS LÄN</t>
        </is>
      </c>
      <c r="G191" t="inlineStr">
        <is>
          <t>SKÖVDE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46236</v>
      </c>
      <c r="F192" t="inlineStr">
        <is>
          <t>VÄSTRA GÖTALANDS LÄN</t>
        </is>
      </c>
      <c r="G192" t="inlineStr">
        <is>
          <t>SKÖVDE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45687</v>
      </c>
      <c r="E193" s="1" t="n">
        <v>46236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46052</v>
      </c>
      <c r="E194" s="1" t="n">
        <v>46236</v>
      </c>
      <c r="F194" t="inlineStr">
        <is>
          <t>VÄSTRA GÖTALANDS LÄN</t>
        </is>
      </c>
      <c r="G194" t="inlineStr">
        <is>
          <t>SKÖVDE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46236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46236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46236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46236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Övriga statliga verk och myndigheter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46236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Övriga statliga verk och myndigheter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46236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46236</v>
      </c>
      <c r="F201" t="inlineStr">
        <is>
          <t>VÄSTRA GÖTALANDS LÄN</t>
        </is>
      </c>
      <c r="G201" t="inlineStr">
        <is>
          <t>SKÖVDE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46236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Övriga statliga verk och myndigheter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46236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46236</v>
      </c>
      <c r="F204" t="inlineStr">
        <is>
          <t>VÄSTRA GÖTALANDS LÄN</t>
        </is>
      </c>
      <c r="G204" t="inlineStr">
        <is>
          <t>SKÖVDE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46236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46236</v>
      </c>
      <c r="F206" t="inlineStr">
        <is>
          <t>VÄSTRA GÖTALANDS LÄN</t>
        </is>
      </c>
      <c r="G206" t="inlineStr">
        <is>
          <t>SKÖVDE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44743</v>
      </c>
      <c r="E207" s="1" t="n">
        <v>46236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46236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26914-2026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46236</v>
      </c>
      <c r="F209" t="inlineStr">
        <is>
          <t>VÄSTRA GÖTALANDS LÄN</t>
        </is>
      </c>
      <c r="G209" t="inlineStr">
        <is>
          <t>SKÖVDE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46236</v>
      </c>
      <c r="F210" t="inlineStr">
        <is>
          <t>VÄSTRA GÖTALANDS LÄN</t>
        </is>
      </c>
      <c r="G210" t="inlineStr">
        <is>
          <t>SKÖVDE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46236</v>
      </c>
      <c r="F211" t="inlineStr">
        <is>
          <t>VÄSTRA GÖTALANDS LÄN</t>
        </is>
      </c>
      <c r="G211" t="inlineStr">
        <is>
          <t>SKÖVDE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45560</v>
      </c>
      <c r="E212" s="1" t="n">
        <v>46236</v>
      </c>
      <c r="F212" t="inlineStr">
        <is>
          <t>VÄSTRA GÖTALANDS LÄN</t>
        </is>
      </c>
      <c r="G212" t="inlineStr">
        <is>
          <t>SKÖVDE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46236</v>
      </c>
      <c r="F213" t="inlineStr">
        <is>
          <t>VÄSTRA GÖTALANDS LÄN</t>
        </is>
      </c>
      <c r="G213" t="inlineStr">
        <is>
          <t>SKÖVDE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46236</v>
      </c>
      <c r="F214" t="inlineStr">
        <is>
          <t>VÄSTRA GÖTALANDS LÄN</t>
        </is>
      </c>
      <c r="G214" t="inlineStr">
        <is>
          <t>SKÖVDE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46236</v>
      </c>
      <c r="F215" t="inlineStr">
        <is>
          <t>VÄSTRA GÖTALANDS LÄN</t>
        </is>
      </c>
      <c r="G215" t="inlineStr">
        <is>
          <t>SKÖVDE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46236</v>
      </c>
      <c r="F216" t="inlineStr">
        <is>
          <t>VÄSTRA GÖTALANDS LÄN</t>
        </is>
      </c>
      <c r="G216" t="inlineStr">
        <is>
          <t>SKÖVDE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46236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46236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46236</v>
      </c>
      <c r="F219" t="inlineStr">
        <is>
          <t>VÄSTRA GÖTALANDS LÄN</t>
        </is>
      </c>
      <c r="G219" t="inlineStr">
        <is>
          <t>SKÖVDE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46236</v>
      </c>
      <c r="F220" t="inlineStr">
        <is>
          <t>VÄSTRA GÖTALANDS LÄN</t>
        </is>
      </c>
      <c r="G220" t="inlineStr">
        <is>
          <t>SKÖVDE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60588-2023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45259</v>
      </c>
      <c r="E221" s="1" t="n">
        <v>46236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46236</v>
      </c>
      <c r="F222" t="inlineStr">
        <is>
          <t>VÄSTRA GÖTALANDS LÄN</t>
        </is>
      </c>
      <c r="G222" t="inlineStr">
        <is>
          <t>SKÖVDE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46236</v>
      </c>
      <c r="F223" t="inlineStr">
        <is>
          <t>VÄSTRA GÖTALANDS LÄN</t>
        </is>
      </c>
      <c r="G223" t="inlineStr">
        <is>
          <t>SKÖVDE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46236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46236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46236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46236</v>
      </c>
      <c r="F227" t="inlineStr">
        <is>
          <t>VÄSTRA GÖTALANDS LÄN</t>
        </is>
      </c>
      <c r="G227" t="inlineStr">
        <is>
          <t>SKÖVDE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46236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46236</v>
      </c>
      <c r="F229" t="inlineStr">
        <is>
          <t>VÄSTRA GÖTALANDS LÄN</t>
        </is>
      </c>
      <c r="G229" t="inlineStr">
        <is>
          <t>SKÖVDE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46236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46236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46236</v>
      </c>
      <c r="F232" t="inlineStr">
        <is>
          <t>VÄSTRA GÖTALANDS LÄN</t>
        </is>
      </c>
      <c r="G232" t="inlineStr">
        <is>
          <t>SKÖVDE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46236</v>
      </c>
      <c r="F233" t="inlineStr">
        <is>
          <t>VÄSTRA GÖTALANDS LÄN</t>
        </is>
      </c>
      <c r="G233" t="inlineStr">
        <is>
          <t>SKÖVDE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44586</v>
      </c>
      <c r="E234" s="1" t="n">
        <v>46236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46236</v>
      </c>
      <c r="F235" t="inlineStr">
        <is>
          <t>VÄSTRA GÖTALANDS LÄN</t>
        </is>
      </c>
      <c r="G235" t="inlineStr">
        <is>
          <t>SKÖVDE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46236</v>
      </c>
      <c r="F236" t="inlineStr">
        <is>
          <t>VÄSTRA GÖTALANDS LÄN</t>
        </is>
      </c>
      <c r="G236" t="inlineStr">
        <is>
          <t>SKÖVDE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46236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46236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45710</v>
      </c>
      <c r="E239" s="1" t="n">
        <v>46236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46236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46236</v>
      </c>
      <c r="F241" t="inlineStr">
        <is>
          <t>VÄSTRA GÖTALANDS LÄN</t>
        </is>
      </c>
      <c r="G241" t="inlineStr">
        <is>
          <t>SKÖVDE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45142</v>
      </c>
      <c r="E242" s="1" t="n">
        <v>46236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46236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46236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46236</v>
      </c>
      <c r="F245" t="inlineStr">
        <is>
          <t>VÄSTRA GÖTALANDS LÄN</t>
        </is>
      </c>
      <c r="G245" t="inlineStr">
        <is>
          <t>SKÖVDE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45796</v>
      </c>
      <c r="E246" s="1" t="n">
        <v>46236</v>
      </c>
      <c r="F246" t="inlineStr">
        <is>
          <t>VÄSTRA GÖTALANDS LÄN</t>
        </is>
      </c>
      <c r="G246" t="inlineStr">
        <is>
          <t>SKÖVDE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45334</v>
      </c>
      <c r="E247" s="1" t="n">
        <v>46236</v>
      </c>
      <c r="F247" t="inlineStr">
        <is>
          <t>VÄSTRA GÖTALANDS LÄN</t>
        </is>
      </c>
      <c r="G247" t="inlineStr">
        <is>
          <t>SKÖVDE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46236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46236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45800</v>
      </c>
      <c r="E250" s="1" t="n">
        <v>46236</v>
      </c>
      <c r="F250" t="inlineStr">
        <is>
          <t>VÄSTRA GÖTALANDS LÄN</t>
        </is>
      </c>
      <c r="G250" t="inlineStr">
        <is>
          <t>SKÖVDE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46236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45803</v>
      </c>
      <c r="E252" s="1" t="n">
        <v>46236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46236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46236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46236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46236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46236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45821</v>
      </c>
      <c r="E258" s="1" t="n">
        <v>46236</v>
      </c>
      <c r="F258" t="inlineStr">
        <is>
          <t>VÄSTRA GÖTALANDS LÄN</t>
        </is>
      </c>
      <c r="G258" t="inlineStr">
        <is>
          <t>SKÖVDE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46236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46236</v>
      </c>
      <c r="F260" t="inlineStr">
        <is>
          <t>VÄSTRA GÖTALANDS LÄN</t>
        </is>
      </c>
      <c r="G260" t="inlineStr">
        <is>
          <t>SKÖVDE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46236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46236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46236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46236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46236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46236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46236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46236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46236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2026-08-02T01:54:00Z</dcterms:created>
  <dcterms:modified xmlns:dcterms="http://purl.org/dc/terms/" xmlns:xsi="http://www.w3.org/2001/XMLSchema-instance" xsi:type="dcterms:W3CDTF">2026-08-02T01:54:00Z</dcterms:modified>
</cp:coreProperties>
</file>