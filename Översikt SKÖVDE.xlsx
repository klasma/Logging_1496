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46229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46229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46229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46229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46229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46229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46229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46229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46229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46229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46229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46229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46229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46229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46229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46229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46229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46229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46229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46229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46229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46229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46229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46229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58467-2024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46229</v>
      </c>
      <c r="F31" t="inlineStr">
        <is>
          <t>VÄSTRA GÖTALANDS LÄN</t>
        </is>
      </c>
      <c r="G31" t="inlineStr">
        <is>
          <t>SKÖVDE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Sommarfibbla
Mattlummer</t>
        </is>
      </c>
      <c r="W31">
        <f>HYPERLINK("https://klasma.github.io/Logging_1496/artfynd/A 58467-2024 artfynd.xlsx", "A 58467-2024")</f>
        <v/>
      </c>
      <c r="X31">
        <f>HYPERLINK("https://klasma.github.io/Logging_1496/kartor/A 58467-2024 karta.png", "A 58467-2024")</f>
        <v/>
      </c>
      <c r="Y31">
        <f>HYPERLINK("https://klasma.github.io/Logging_1496/kartor_geotiff/A 58467-2024 georefererad karta.tif", "A 58467-2024")</f>
        <v/>
      </c>
      <c r="AA31">
        <f>HYPERLINK("https://klasma.github.io/Logging_1496/klagomål/A 58467-2024 FSC-klagomål.docx", "A 58467-2024")</f>
        <v/>
      </c>
      <c r="AB31">
        <f>HYPERLINK("https://klasma.github.io/Logging_1496/klagomålsmail/A 58467-2024 FSC-klagomål mail.docx", "A 58467-2024")</f>
        <v/>
      </c>
      <c r="AC31">
        <f>HYPERLINK("https://klasma.github.io/Logging_1496/tillsyn/A 58467-2024 tillsynsbegäran.docx", "A 58467-2024")</f>
        <v/>
      </c>
      <c r="AD31">
        <f>HYPERLINK("https://klasma.github.io/Logging_1496/tillsynsmail/A 58467-2024 tillsynsbegäran mail.docx", "A 58467-2024")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46229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46229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46229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46229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46229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46229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46229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46229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46229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46229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46229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46229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46229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46229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46229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46229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46229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46229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46229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HYPERLINK("https://klasma.github.io/Logging_1496/artfynd/A 47869-2025 artfynd.xlsx", "A 47869-2025")</f>
        <v/>
      </c>
      <c r="X50">
        <f>HYPERLINK("https://klasma.github.io/Logging_1496/kartor/A 47869-2025 karta.png", "A 47869-2025")</f>
        <v/>
      </c>
      <c r="Y50">
        <f>HYPERLINK("https://klasma.github.io/Logging_1496/kartor_geotiff/A 47869-2025 georefererad karta.tif", "A 47869-2025")</f>
        <v/>
      </c>
      <c r="AA50">
        <f>HYPERLINK("https://klasma.github.io/Logging_1496/klagomål/A 47869-2025 FSC-klagomål.docx", "A 47869-2025")</f>
        <v/>
      </c>
      <c r="AB50">
        <f>HYPERLINK("https://klasma.github.io/Logging_1496/klagomålsmail/A 47869-2025 FSC-klagomål mail.docx", "A 47869-2025")</f>
        <v/>
      </c>
      <c r="AC50">
        <f>HYPERLINK("https://klasma.github.io/Logging_1496/tillsyn/A 47869-2025 tillsynsbegäran.docx", "A 47869-2025")</f>
        <v/>
      </c>
      <c r="AD50">
        <f>HYPERLINK("https://klasma.github.io/Logging_1496/tillsynsmail/A 47869-2025 tillsynsbegäran mail.docx", "A 47869-2025")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46229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46229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46229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46229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46229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46229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46229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24814-2026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46173</v>
      </c>
      <c r="E58" s="1" t="n">
        <v>46229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HYPERLINK("https://klasma.github.io/Logging_1496/artfynd/A 24814-2026 artfynd.xlsx", "A 24814-2026")</f>
        <v/>
      </c>
      <c r="X58">
        <f>HYPERLINK("https://klasma.github.io/Logging_1496/kartor/A 24814-2026 karta.png", "A 24814-2026")</f>
        <v/>
      </c>
      <c r="Y58">
        <f>HYPERLINK("https://klasma.github.io/Logging_1496/kartor_geotiff/A 24814-2026 georefererad karta.tif", "A 24814-2026")</f>
        <v/>
      </c>
      <c r="AA58">
        <f>HYPERLINK("https://klasma.github.io/Logging_1496/klagomål/A 24814-2026 FSC-klagomål.docx", "A 24814-2026")</f>
        <v/>
      </c>
      <c r="AB58">
        <f>HYPERLINK("https://klasma.github.io/Logging_1496/klagomålsmail/A 24814-2026 FSC-klagomål mail.docx", "A 24814-2026")</f>
        <v/>
      </c>
      <c r="AC58">
        <f>HYPERLINK("https://klasma.github.io/Logging_1496/tillsyn/A 24814-2026 tillsynsbegäran.docx", "A 24814-2026")</f>
        <v/>
      </c>
      <c r="AD58">
        <f>HYPERLINK("https://klasma.github.io/Logging_1496/tillsynsmail/A 24814-2026 tillsynsbegäran mail.docx", "A 24814-2026")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46229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46229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46229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Hässleklocka</t>
        </is>
      </c>
      <c r="W61">
        <f>HYPERLINK("https://klasma.github.io/Logging_1496/artfynd/A 18132-2023 artfynd.xlsx", "A 18132-2023")</f>
        <v/>
      </c>
      <c r="X61">
        <f>HYPERLINK("https://klasma.github.io/Logging_1496/kartor/A 18132-2023 karta.png", "A 18132-2023")</f>
        <v/>
      </c>
      <c r="Y61">
        <f>HYPERLINK("https://klasma.github.io/Logging_1496/kartor_geotiff/A 18132-2023 georefererad karta.tif", "A 18132-2023")</f>
        <v/>
      </c>
      <c r="AA61">
        <f>HYPERLINK("https://klasma.github.io/Logging_1496/klagomål/A 18132-2023 FSC-klagomål.docx", "A 18132-2023")</f>
        <v/>
      </c>
      <c r="AB61">
        <f>HYPERLINK("https://klasma.github.io/Logging_1496/klagomålsmail/A 18132-2023 FSC-klagomål mail.docx", "A 18132-2023")</f>
        <v/>
      </c>
      <c r="AC61">
        <f>HYPERLINK("https://klasma.github.io/Logging_1496/tillsyn/A 18132-2023 tillsynsbegäran.docx", "A 18132-2023")</f>
        <v/>
      </c>
      <c r="AD61">
        <f>HYPERLINK("https://klasma.github.io/Logging_1496/tillsynsmail/A 18132-2023 tillsynsbegäran mail.docx", "A 18132-2023")</f>
        <v/>
      </c>
    </row>
    <row r="62" ht="15" customHeight="1">
      <c r="A62" t="inlineStr">
        <is>
          <t>A 17452-2023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45036</v>
      </c>
      <c r="E62" s="1" t="n">
        <v>46229</v>
      </c>
      <c r="F62" t="inlineStr">
        <is>
          <t>VÄSTRA GÖTALANDS LÄN</t>
        </is>
      </c>
      <c r="G62" t="inlineStr">
        <is>
          <t>SKÖVDE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17452-2023 artfynd.xlsx", "A 17452-2023")</f>
        <v/>
      </c>
      <c r="X62">
        <f>HYPERLINK("https://klasma.github.io/Logging_1496/kartor/A 17452-2023 karta.png", "A 17452-2023")</f>
        <v/>
      </c>
      <c r="Y62">
        <f>HYPERLINK("https://klasma.github.io/Logging_1496/kartor_geotiff/A 17452-2023 georefererad karta.tif", "A 17452-2023")</f>
        <v/>
      </c>
      <c r="AA62">
        <f>HYPERLINK("https://klasma.github.io/Logging_1496/klagomål/A 17452-2023 FSC-klagomål.docx", "A 17452-2023")</f>
        <v/>
      </c>
      <c r="AB62">
        <f>HYPERLINK("https://klasma.github.io/Logging_1496/klagomålsmail/A 17452-2023 FSC-klagomål mail.docx", "A 17452-2023")</f>
        <v/>
      </c>
      <c r="AC62">
        <f>HYPERLINK("https://klasma.github.io/Logging_1496/tillsyn/A 17452-2023 tillsynsbegäran.docx", "A 17452-2023")</f>
        <v/>
      </c>
      <c r="AD62">
        <f>HYPERLINK("https://klasma.github.io/Logging_1496/tillsynsmail/A 17452-2023 tillsynsbegäran mail.docx", "A 17452-2023")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46229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46229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46229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46229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46229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46229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65804-2021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46229</v>
      </c>
      <c r="F70" t="inlineStr">
        <is>
          <t>VÄSTRA GÖTALANDS LÄN</t>
        </is>
      </c>
      <c r="G70" t="inlineStr">
        <is>
          <t>SKÖVDE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46229</v>
      </c>
      <c r="F71" t="inlineStr">
        <is>
          <t>VÄSTRA GÖTALANDS LÄN</t>
        </is>
      </c>
      <c r="G71" t="inlineStr">
        <is>
          <t>SKÖVDE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44543</v>
      </c>
      <c r="E72" s="1" t="n">
        <v>46229</v>
      </c>
      <c r="F72" t="inlineStr">
        <is>
          <t>VÄSTRA GÖTALANDS LÄN</t>
        </is>
      </c>
      <c r="G72" t="inlineStr">
        <is>
          <t>SKÖVDE</t>
        </is>
      </c>
      <c r="H72" t="inlineStr">
        <is>
          <t>Naturvårdsverket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46229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46229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46229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46229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46229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46229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46229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46229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46229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46229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46229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46229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46229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46229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46229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46229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46229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46229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46229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46229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46229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46229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46229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46229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46229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46229</v>
      </c>
      <c r="F98" t="inlineStr">
        <is>
          <t>VÄSTRA GÖTALANDS LÄN</t>
        </is>
      </c>
      <c r="G98" t="inlineStr">
        <is>
          <t>SKÖVDE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46229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46229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46229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46229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46229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46229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46229</v>
      </c>
      <c r="F105" t="inlineStr">
        <is>
          <t>VÄSTRA GÖTALANDS LÄN</t>
        </is>
      </c>
      <c r="G105" t="inlineStr">
        <is>
          <t>SKÖVDE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46229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67134-2021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44523</v>
      </c>
      <c r="E107" s="1" t="n">
        <v>46229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46229</v>
      </c>
      <c r="F108" t="inlineStr">
        <is>
          <t>VÄSTRA GÖTALANDS LÄN</t>
        </is>
      </c>
      <c r="G108" t="inlineStr">
        <is>
          <t>SKÖVDE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46229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44862</v>
      </c>
      <c r="E110" s="1" t="n">
        <v>46229</v>
      </c>
      <c r="F110" t="inlineStr">
        <is>
          <t>VÄSTRA GÖTALANDS LÄN</t>
        </is>
      </c>
      <c r="G110" t="inlineStr">
        <is>
          <t>SKÖVDE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46229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60588-2023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45259</v>
      </c>
      <c r="E112" s="1" t="n">
        <v>46229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46229</v>
      </c>
      <c r="F113" t="inlineStr">
        <is>
          <t>VÄSTRA GÖTALANDS LÄN</t>
        </is>
      </c>
      <c r="G113" t="inlineStr">
        <is>
          <t>SKÖVDE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45853</v>
      </c>
      <c r="E114" s="1" t="n">
        <v>46229</v>
      </c>
      <c r="F114" t="inlineStr">
        <is>
          <t>VÄSTRA GÖTALANDS LÄN</t>
        </is>
      </c>
      <c r="G114" t="inlineStr">
        <is>
          <t>SKÖVDE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46229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46229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46229</v>
      </c>
      <c r="F117" t="inlineStr">
        <is>
          <t>VÄSTRA GÖTALANDS LÄN</t>
        </is>
      </c>
      <c r="G117" t="inlineStr">
        <is>
          <t>SKÖVDE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46229</v>
      </c>
      <c r="F118" t="inlineStr">
        <is>
          <t>VÄSTRA GÖTALANDS LÄN</t>
        </is>
      </c>
      <c r="G118" t="inlineStr">
        <is>
          <t>SKÖVDE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45685</v>
      </c>
      <c r="E119" s="1" t="n">
        <v>46229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46229</v>
      </c>
      <c r="F120" t="inlineStr">
        <is>
          <t>VÄSTRA GÖTALANDS LÄN</t>
        </is>
      </c>
      <c r="G120" t="inlineStr">
        <is>
          <t>SKÖVDE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46229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46229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46229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46229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46229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45693</v>
      </c>
      <c r="E126" s="1" t="n">
        <v>46229</v>
      </c>
      <c r="F126" t="inlineStr">
        <is>
          <t>VÄSTRA GÖTALANDS LÄN</t>
        </is>
      </c>
      <c r="G126" t="inlineStr">
        <is>
          <t>SKÖVDE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46229</v>
      </c>
      <c r="F127" t="inlineStr">
        <is>
          <t>VÄSTRA GÖTALANDS LÄN</t>
        </is>
      </c>
      <c r="G127" t="inlineStr">
        <is>
          <t>SKÖVDE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46229</v>
      </c>
      <c r="F128" t="inlineStr">
        <is>
          <t>VÄSTRA GÖTALANDS LÄN</t>
        </is>
      </c>
      <c r="G128" t="inlineStr">
        <is>
          <t>SKÖVDE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46229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46229</v>
      </c>
      <c r="F130" t="inlineStr">
        <is>
          <t>VÄSTRA GÖTALANDS LÄN</t>
        </is>
      </c>
      <c r="G130" t="inlineStr">
        <is>
          <t>SKÖVDE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46229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46229</v>
      </c>
      <c r="F132" t="inlineStr">
        <is>
          <t>VÄSTRA GÖTALANDS LÄN</t>
        </is>
      </c>
      <c r="G132" t="inlineStr">
        <is>
          <t>SKÖVDE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46229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46229</v>
      </c>
      <c r="F134" t="inlineStr">
        <is>
          <t>VÄSTRA GÖTALANDS LÄN</t>
        </is>
      </c>
      <c r="G134" t="inlineStr">
        <is>
          <t>SKÖVDE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35280-2024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45530</v>
      </c>
      <c r="E135" s="1" t="n">
        <v>46229</v>
      </c>
      <c r="F135" t="inlineStr">
        <is>
          <t>VÄSTRA GÖTALANDS LÄN</t>
        </is>
      </c>
      <c r="G135" t="inlineStr">
        <is>
          <t>SKÖVDE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46229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46229</v>
      </c>
      <c r="F137" t="inlineStr">
        <is>
          <t>VÄSTRA GÖTALANDS LÄN</t>
        </is>
      </c>
      <c r="G137" t="inlineStr">
        <is>
          <t>SKÖVDE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44963</v>
      </c>
      <c r="E138" s="1" t="n">
        <v>46229</v>
      </c>
      <c r="F138" t="inlineStr">
        <is>
          <t>VÄSTRA GÖTALANDS LÄN</t>
        </is>
      </c>
      <c r="G138" t="inlineStr">
        <is>
          <t>SKÖVDE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46229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34248-2023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45138</v>
      </c>
      <c r="E140" s="1" t="n">
        <v>46229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46229</v>
      </c>
      <c r="F141" t="inlineStr">
        <is>
          <t>VÄSTRA GÖTALANDS LÄN</t>
        </is>
      </c>
      <c r="G141" t="inlineStr">
        <is>
          <t>SKÖVDE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46229</v>
      </c>
      <c r="F142" t="inlineStr">
        <is>
          <t>VÄSTRA GÖTALANDS LÄN</t>
        </is>
      </c>
      <c r="G142" t="inlineStr">
        <is>
          <t>SKÖVDE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46229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46229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60117-2021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44495</v>
      </c>
      <c r="E145" s="1" t="n">
        <v>46229</v>
      </c>
      <c r="F145" t="inlineStr">
        <is>
          <t>VÄSTRA GÖTALANDS LÄN</t>
        </is>
      </c>
      <c r="G145" t="inlineStr">
        <is>
          <t>SKÖVDE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46229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46229</v>
      </c>
      <c r="F147" t="inlineStr">
        <is>
          <t>VÄSTRA GÖTALANDS LÄN</t>
        </is>
      </c>
      <c r="G147" t="inlineStr">
        <is>
          <t>SKÖVDE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44739</v>
      </c>
      <c r="E148" s="1" t="n">
        <v>46229</v>
      </c>
      <c r="F148" t="inlineStr">
        <is>
          <t>VÄSTRA GÖTALANDS LÄN</t>
        </is>
      </c>
      <c r="G148" t="inlineStr">
        <is>
          <t>SKÖVDE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46229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46229</v>
      </c>
      <c r="F150" t="inlineStr">
        <is>
          <t>VÄSTRA GÖTALANDS LÄN</t>
        </is>
      </c>
      <c r="G150" t="inlineStr">
        <is>
          <t>SKÖVDE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46229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46229</v>
      </c>
      <c r="F152" t="inlineStr">
        <is>
          <t>VÄSTRA GÖTALANDS LÄN</t>
        </is>
      </c>
      <c r="G152" t="inlineStr">
        <is>
          <t>SKÖVDE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46229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46229</v>
      </c>
      <c r="F154" t="inlineStr">
        <is>
          <t>VÄSTRA GÖTALANDS LÄN</t>
        </is>
      </c>
      <c r="G154" t="inlineStr">
        <is>
          <t>SKÖVDE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46229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46229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46229</v>
      </c>
      <c r="F157" t="inlineStr">
        <is>
          <t>VÄSTRA GÖTALANDS LÄN</t>
        </is>
      </c>
      <c r="G157" t="inlineStr">
        <is>
          <t>SKÖVDE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46229</v>
      </c>
      <c r="F158" t="inlineStr">
        <is>
          <t>VÄSTRA GÖTALANDS LÄN</t>
        </is>
      </c>
      <c r="G158" t="inlineStr">
        <is>
          <t>SKÖVDE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46229</v>
      </c>
      <c r="F159" t="inlineStr">
        <is>
          <t>VÄSTRA GÖTALANDS LÄN</t>
        </is>
      </c>
      <c r="G159" t="inlineStr">
        <is>
          <t>SKÖVDE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46229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46229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46229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46229</v>
      </c>
      <c r="F163" t="inlineStr">
        <is>
          <t>VÄSTRA GÖTALANDS LÄN</t>
        </is>
      </c>
      <c r="G163" t="inlineStr">
        <is>
          <t>SKÖVDE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46229</v>
      </c>
      <c r="F164" t="inlineStr">
        <is>
          <t>VÄSTRA GÖTALANDS LÄN</t>
        </is>
      </c>
      <c r="G164" t="inlineStr">
        <is>
          <t>SKÖVDE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46229</v>
      </c>
      <c r="F165" t="inlineStr">
        <is>
          <t>VÄSTRA GÖTALANDS LÄN</t>
        </is>
      </c>
      <c r="G165" t="inlineStr">
        <is>
          <t>SKÖVDE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46229</v>
      </c>
      <c r="F166" t="inlineStr">
        <is>
          <t>VÄSTRA GÖTALANDS LÄN</t>
        </is>
      </c>
      <c r="G166" t="inlineStr">
        <is>
          <t>SKÖVDE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46229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46229</v>
      </c>
      <c r="F168" t="inlineStr">
        <is>
          <t>VÄSTRA GÖTALANDS LÄN</t>
        </is>
      </c>
      <c r="G168" t="inlineStr">
        <is>
          <t>SKÖVDE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46229</v>
      </c>
      <c r="F169" t="inlineStr">
        <is>
          <t>VÄSTRA GÖTALANDS LÄN</t>
        </is>
      </c>
      <c r="G169" t="inlineStr">
        <is>
          <t>SKÖVDE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45586</v>
      </c>
      <c r="E170" s="1" t="n">
        <v>46229</v>
      </c>
      <c r="F170" t="inlineStr">
        <is>
          <t>VÄSTRA GÖTALANDS LÄN</t>
        </is>
      </c>
      <c r="G170" t="inlineStr">
        <is>
          <t>SKÖVDE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46229</v>
      </c>
      <c r="F171" t="inlineStr">
        <is>
          <t>VÄSTRA GÖTALANDS LÄN</t>
        </is>
      </c>
      <c r="G171" t="inlineStr">
        <is>
          <t>SKÖVDE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45086</v>
      </c>
      <c r="E172" s="1" t="n">
        <v>46229</v>
      </c>
      <c r="F172" t="inlineStr">
        <is>
          <t>VÄSTRA GÖTALANDS LÄN</t>
        </is>
      </c>
      <c r="G172" t="inlineStr">
        <is>
          <t>SKÖVDE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46229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13669-2023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45006</v>
      </c>
      <c r="E174" s="1" t="n">
        <v>46229</v>
      </c>
      <c r="F174" t="inlineStr">
        <is>
          <t>VÄSTRA GÖTALANDS LÄN</t>
        </is>
      </c>
      <c r="G174" t="inlineStr">
        <is>
          <t>SKÖVDE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46017</v>
      </c>
      <c r="E175" s="1" t="n">
        <v>46229</v>
      </c>
      <c r="F175" t="inlineStr">
        <is>
          <t>VÄSTRA GÖTALANDS LÄN</t>
        </is>
      </c>
      <c r="G175" t="inlineStr">
        <is>
          <t>SKÖVDE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46229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44425</v>
      </c>
      <c r="E177" s="1" t="n">
        <v>46229</v>
      </c>
      <c r="F177" t="inlineStr">
        <is>
          <t>VÄSTRA GÖTALANDS LÄN</t>
        </is>
      </c>
      <c r="G177" t="inlineStr">
        <is>
          <t>SKÖVDE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44796</v>
      </c>
      <c r="E178" s="1" t="n">
        <v>46229</v>
      </c>
      <c r="F178" t="inlineStr">
        <is>
          <t>VÄSTRA GÖTALANDS LÄN</t>
        </is>
      </c>
      <c r="G178" t="inlineStr">
        <is>
          <t>SKÖVDE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46229</v>
      </c>
      <c r="F179" t="inlineStr">
        <is>
          <t>VÄSTRA GÖTALANDS LÄN</t>
        </is>
      </c>
      <c r="G179" t="inlineStr">
        <is>
          <t>SKÖVDE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46229</v>
      </c>
      <c r="F180" t="inlineStr">
        <is>
          <t>VÄSTRA GÖTALANDS LÄN</t>
        </is>
      </c>
      <c r="G180" t="inlineStr">
        <is>
          <t>SKÖVDE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46229</v>
      </c>
      <c r="F181" t="inlineStr">
        <is>
          <t>VÄSTRA GÖTALANDS LÄN</t>
        </is>
      </c>
      <c r="G181" t="inlineStr">
        <is>
          <t>SKÖVDE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46229</v>
      </c>
      <c r="F182" t="inlineStr">
        <is>
          <t>VÄSTRA GÖTALANDS LÄN</t>
        </is>
      </c>
      <c r="G182" t="inlineStr">
        <is>
          <t>SKÖVDE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46229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44599</v>
      </c>
      <c r="E184" s="1" t="n">
        <v>46229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Kyrkan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46229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44750</v>
      </c>
      <c r="E186" s="1" t="n">
        <v>46229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46229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46229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2901-2026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46038</v>
      </c>
      <c r="E189" s="1" t="n">
        <v>46229</v>
      </c>
      <c r="F189" t="inlineStr">
        <is>
          <t>VÄSTRA GÖTALANDS LÄN</t>
        </is>
      </c>
      <c r="G189" t="inlineStr">
        <is>
          <t>SKÖVDE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46229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46229</v>
      </c>
      <c r="F191" t="inlineStr">
        <is>
          <t>VÄSTRA GÖTALANDS LÄN</t>
        </is>
      </c>
      <c r="G191" t="inlineStr">
        <is>
          <t>SKÖVDE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46229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46229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46229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46229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46229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46229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46229</v>
      </c>
      <c r="F198" t="inlineStr">
        <is>
          <t>VÄSTRA GÖTALANDS LÄN</t>
        </is>
      </c>
      <c r="G198" t="inlineStr">
        <is>
          <t>SKÖVDE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46229</v>
      </c>
      <c r="F199" t="inlineStr">
        <is>
          <t>VÄSTRA GÖTALANDS LÄN</t>
        </is>
      </c>
      <c r="G199" t="inlineStr">
        <is>
          <t>SKÖVDE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46229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44938</v>
      </c>
      <c r="E201" s="1" t="n">
        <v>46229</v>
      </c>
      <c r="F201" t="inlineStr">
        <is>
          <t>VÄSTRA GÖTALANDS LÄN</t>
        </is>
      </c>
      <c r="G201" t="inlineStr">
        <is>
          <t>SKÖVDE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46229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46229</v>
      </c>
      <c r="F203" t="inlineStr">
        <is>
          <t>VÄSTRA GÖTALANDS LÄN</t>
        </is>
      </c>
      <c r="G203" t="inlineStr">
        <is>
          <t>SKÖVDE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46229</v>
      </c>
      <c r="F204" t="inlineStr">
        <is>
          <t>VÄSTRA GÖTALANDS LÄN</t>
        </is>
      </c>
      <c r="G204" t="inlineStr">
        <is>
          <t>SKÖVDE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46229</v>
      </c>
      <c r="F205" t="inlineStr">
        <is>
          <t>VÄSTRA GÖTALANDS LÄN</t>
        </is>
      </c>
      <c r="G205" t="inlineStr">
        <is>
          <t>SKÖVDE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46229</v>
      </c>
      <c r="F206" t="inlineStr">
        <is>
          <t>VÄSTRA GÖTALANDS LÄN</t>
        </is>
      </c>
      <c r="G206" t="inlineStr">
        <is>
          <t>SKÖVDE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46229</v>
      </c>
      <c r="F207" t="inlineStr">
        <is>
          <t>VÄSTRA GÖTALANDS LÄN</t>
        </is>
      </c>
      <c r="G207" t="inlineStr">
        <is>
          <t>SKÖVDE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46229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46229</v>
      </c>
      <c r="F209" t="inlineStr">
        <is>
          <t>VÄSTRA GÖTALANDS LÄN</t>
        </is>
      </c>
      <c r="G209" t="inlineStr">
        <is>
          <t>SKÖVDE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40105-2021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44418</v>
      </c>
      <c r="E210" s="1" t="n">
        <v>46229</v>
      </c>
      <c r="F210" t="inlineStr">
        <is>
          <t>VÄSTRA GÖTALANDS LÄN</t>
        </is>
      </c>
      <c r="G210" t="inlineStr">
        <is>
          <t>SKÖVDE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46229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46229</v>
      </c>
      <c r="F212" t="inlineStr">
        <is>
          <t>VÄSTRA GÖTALANDS LÄN</t>
        </is>
      </c>
      <c r="G212" t="inlineStr">
        <is>
          <t>SKÖVDE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45687</v>
      </c>
      <c r="E213" s="1" t="n">
        <v>46229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46129</v>
      </c>
      <c r="E214" s="1" t="n">
        <v>46229</v>
      </c>
      <c r="F214" t="inlineStr">
        <is>
          <t>VÄSTRA GÖTALANDS LÄN</t>
        </is>
      </c>
      <c r="G214" t="inlineStr">
        <is>
          <t>SKÖVDE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45138</v>
      </c>
      <c r="E215" s="1" t="n">
        <v>46229</v>
      </c>
      <c r="F215" t="inlineStr">
        <is>
          <t>VÄSTRA GÖTALANDS LÄN</t>
        </is>
      </c>
      <c r="G215" t="inlineStr">
        <is>
          <t>SKÖVDE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46229</v>
      </c>
      <c r="F216" t="inlineStr">
        <is>
          <t>VÄSTRA GÖTALANDS LÄN</t>
        </is>
      </c>
      <c r="G216" t="inlineStr">
        <is>
          <t>SKÖVDE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46229</v>
      </c>
      <c r="F217" t="inlineStr">
        <is>
          <t>VÄSTRA GÖTALANDS LÄN</t>
        </is>
      </c>
      <c r="G217" t="inlineStr">
        <is>
          <t>SKÖVDE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46229</v>
      </c>
      <c r="F218" t="inlineStr">
        <is>
          <t>VÄSTRA GÖTALANDS LÄN</t>
        </is>
      </c>
      <c r="G218" t="inlineStr">
        <is>
          <t>SKÖVDE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46229</v>
      </c>
      <c r="F219" t="inlineStr">
        <is>
          <t>VÄSTRA GÖTALANDS LÄN</t>
        </is>
      </c>
      <c r="G219" t="inlineStr">
        <is>
          <t>SKÖVDE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46229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26914-2026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46185</v>
      </c>
      <c r="E221" s="1" t="n">
        <v>46229</v>
      </c>
      <c r="F221" t="inlineStr">
        <is>
          <t>VÄSTRA GÖTALANDS LÄN</t>
        </is>
      </c>
      <c r="G221" t="inlineStr">
        <is>
          <t>SKÖVDE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45590</v>
      </c>
      <c r="E222" s="1" t="n">
        <v>46229</v>
      </c>
      <c r="F222" t="inlineStr">
        <is>
          <t>VÄSTRA GÖTALANDS LÄN</t>
        </is>
      </c>
      <c r="G222" t="inlineStr">
        <is>
          <t>SKÖVDE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17798-2024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45418</v>
      </c>
      <c r="E223" s="1" t="n">
        <v>46229</v>
      </c>
      <c r="F223" t="inlineStr">
        <is>
          <t>VÄSTRA GÖTALANDS LÄN</t>
        </is>
      </c>
      <c r="G223" t="inlineStr">
        <is>
          <t>SKÖVDE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46229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44811</v>
      </c>
      <c r="E225" s="1" t="n">
        <v>46229</v>
      </c>
      <c r="F225" t="inlineStr">
        <is>
          <t>VÄSTRA GÖTALANDS LÄN</t>
        </is>
      </c>
      <c r="G225" t="inlineStr">
        <is>
          <t>SKÖVDE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46229</v>
      </c>
      <c r="F226" t="inlineStr">
        <is>
          <t>VÄSTRA GÖTALANDS LÄN</t>
        </is>
      </c>
      <c r="G226" t="inlineStr">
        <is>
          <t>SKÖVDE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46229</v>
      </c>
      <c r="F227" t="inlineStr">
        <is>
          <t>VÄSTRA GÖTALANDS LÄN</t>
        </is>
      </c>
      <c r="G227" t="inlineStr">
        <is>
          <t>SKÖVDE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46229</v>
      </c>
      <c r="F228" t="inlineStr">
        <is>
          <t>VÄSTRA GÖTALANDS LÄN</t>
        </is>
      </c>
      <c r="G228" t="inlineStr">
        <is>
          <t>SKÖVDE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46229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46229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46229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44804</v>
      </c>
      <c r="E232" s="1" t="n">
        <v>46229</v>
      </c>
      <c r="F232" t="inlineStr">
        <is>
          <t>VÄSTRA GÖTALANDS LÄN</t>
        </is>
      </c>
      <c r="G232" t="inlineStr">
        <is>
          <t>SKÖVDE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46229</v>
      </c>
      <c r="F233" t="inlineStr">
        <is>
          <t>VÄSTRA GÖTALANDS LÄN</t>
        </is>
      </c>
      <c r="G233" t="inlineStr">
        <is>
          <t>SKÖVDE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46229</v>
      </c>
      <c r="F234" t="inlineStr">
        <is>
          <t>VÄSTRA GÖTALANDS LÄN</t>
        </is>
      </c>
      <c r="G234" t="inlineStr">
        <is>
          <t>SKÖVDE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46229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46229</v>
      </c>
      <c r="F236" t="inlineStr">
        <is>
          <t>VÄSTRA GÖTALANDS LÄN</t>
        </is>
      </c>
      <c r="G236" t="inlineStr">
        <is>
          <t>SKÖVDE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46229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46229</v>
      </c>
      <c r="F238" t="inlineStr">
        <is>
          <t>VÄSTRA GÖTALANDS LÄN</t>
        </is>
      </c>
      <c r="G238" t="inlineStr">
        <is>
          <t>SKÖVDE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46229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46229</v>
      </c>
      <c r="F240" t="inlineStr">
        <is>
          <t>VÄSTRA GÖTALANDS LÄN</t>
        </is>
      </c>
      <c r="G240" t="inlineStr">
        <is>
          <t>SKÖVDE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46229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45710</v>
      </c>
      <c r="E242" s="1" t="n">
        <v>46229</v>
      </c>
      <c r="F242" t="inlineStr">
        <is>
          <t>VÄSTRA GÖTALANDS LÄN</t>
        </is>
      </c>
      <c r="G242" t="inlineStr">
        <is>
          <t>SKÖVDE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46229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45334</v>
      </c>
      <c r="E244" s="1" t="n">
        <v>46229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46229</v>
      </c>
      <c r="F245" t="inlineStr">
        <is>
          <t>VÄSTRA GÖTALANDS LÄN</t>
        </is>
      </c>
      <c r="G245" t="inlineStr">
        <is>
          <t>SKÖVDE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46229</v>
      </c>
      <c r="F246" t="inlineStr">
        <is>
          <t>VÄSTRA GÖTALANDS LÄN</t>
        </is>
      </c>
      <c r="G246" t="inlineStr">
        <is>
          <t>SKÖVDE</t>
        </is>
      </c>
      <c r="H246" t="inlineStr">
        <is>
          <t>Kommuner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46229</v>
      </c>
      <c r="F247" t="inlineStr">
        <is>
          <t>VÄSTRA GÖTALANDS LÄN</t>
        </is>
      </c>
      <c r="G247" t="inlineStr">
        <is>
          <t>SKÖVDE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46229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46229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25642-2025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45803</v>
      </c>
      <c r="E250" s="1" t="n">
        <v>46229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45800</v>
      </c>
      <c r="E251" s="1" t="n">
        <v>46229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25639-2025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45800</v>
      </c>
      <c r="E252" s="1" t="n">
        <v>46229</v>
      </c>
      <c r="F252" t="inlineStr">
        <is>
          <t>VÄSTRA GÖTALANDS LÄN</t>
        </is>
      </c>
      <c r="G252" t="inlineStr">
        <is>
          <t>SKÖVDE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46229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46229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46229</v>
      </c>
      <c r="F255" t="inlineStr">
        <is>
          <t>VÄSTRA GÖTALANDS LÄN</t>
        </is>
      </c>
      <c r="G255" t="inlineStr">
        <is>
          <t>SKÖVDE</t>
        </is>
      </c>
      <c r="I255" t="n">
        <v>12.3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46229</v>
      </c>
      <c r="F256" t="inlineStr">
        <is>
          <t>VÄSTRA GÖTALANDS LÄN</t>
        </is>
      </c>
      <c r="G256" t="inlineStr">
        <is>
          <t>SKÖVDE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46229</v>
      </c>
      <c r="F257" t="inlineStr">
        <is>
          <t>VÄSTRA GÖTALANDS LÄN</t>
        </is>
      </c>
      <c r="G257" t="inlineStr">
        <is>
          <t>SKÖVDE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46229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46229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46229</v>
      </c>
      <c r="F260" t="inlineStr">
        <is>
          <t>VÄSTRA GÖTALANDS LÄN</t>
        </is>
      </c>
      <c r="G260" t="inlineStr">
        <is>
          <t>SKÖVDE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46229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46229</v>
      </c>
      <c r="F262" t="inlineStr">
        <is>
          <t>VÄSTRA GÖTALANDS LÄN</t>
        </is>
      </c>
      <c r="G262" t="inlineStr">
        <is>
          <t>SKÖVDE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46229</v>
      </c>
      <c r="F263" t="inlineStr">
        <is>
          <t>VÄSTRA GÖTALANDS LÄN</t>
        </is>
      </c>
      <c r="G263" t="inlineStr">
        <is>
          <t>SKÖVDE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46229</v>
      </c>
      <c r="F264" t="inlineStr">
        <is>
          <t>VÄSTRA GÖTALANDS LÄN</t>
        </is>
      </c>
      <c r="G264" t="inlineStr">
        <is>
          <t>SKÖVDE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46229</v>
      </c>
      <c r="F265" t="inlineStr">
        <is>
          <t>VÄSTRA GÖTALANDS LÄN</t>
        </is>
      </c>
      <c r="G265" t="inlineStr">
        <is>
          <t>SKÖVDE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46229</v>
      </c>
      <c r="F266" t="inlineStr">
        <is>
          <t>VÄSTRA GÖTALANDS LÄN</t>
        </is>
      </c>
      <c r="G266" t="inlineStr">
        <is>
          <t>SKÖVDE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46229</v>
      </c>
      <c r="F267" t="inlineStr">
        <is>
          <t>VÄSTRA GÖTALANDS LÄN</t>
        </is>
      </c>
      <c r="G267" t="inlineStr">
        <is>
          <t>SKÖVDE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46229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46229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2026-07-26T01:50:49Z</dcterms:created>
  <dcterms:modified xmlns:dcterms="http://purl.org/dc/terms/" xmlns:xsi="http://www.w3.org/2001/XMLSchema-instance" xsi:type="dcterms:W3CDTF">2026-07-26T01:50:49Z</dcterms:modified>
</cp:coreProperties>
</file>