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46292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46292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46292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46292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46292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46292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46292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46292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46292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46292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46292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46292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46292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46292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46292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46292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46292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46292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100-2023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46292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Borsttåg
Ängsstarr
Purpurknipprot</t>
        </is>
      </c>
      <c r="W27">
        <f>HYPERLINK("https://klasma.github.io/Logging_1496/artfynd/A 100-2023 artfynd.xlsx", "A 100-2023")</f>
        <v/>
      </c>
      <c r="X27">
        <f>HYPERLINK("https://klasma.github.io/Logging_1496/kartor/A 100-2023 karta.png", "A 100-2023")</f>
        <v/>
      </c>
      <c r="Y27">
        <f>HYPERLINK("https://klasma.github.io/Logging_1496/kartor_geotiff/A 100-2023 georefererad karta.tif", "A 100-2023")</f>
        <v/>
      </c>
      <c r="AA27">
        <f>HYPERLINK("https://klasma.github.io/Logging_1496/klagomål/A 100-2023 FSC-klagomål.docx", "A 100-2023")</f>
        <v/>
      </c>
      <c r="AB27">
        <f>HYPERLINK("https://klasma.github.io/Logging_1496/klagomålsmail/A 100-2023 FSC-klagomål mail.docx", "A 100-2023")</f>
        <v/>
      </c>
      <c r="AC27">
        <f>HYPERLINK("https://klasma.github.io/Logging_1496/tillsyn/A 100-2023 tillsynsbegäran.docx", "A 100-2023")</f>
        <v/>
      </c>
      <c r="AD27">
        <f>HYPERLINK("https://klasma.github.io/Logging_1496/tillsynsmail/A 100-2023 tillsynsbegäran mail.docx", "A 100-2023")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46292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46292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46292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46292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46292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46292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46292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46292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46292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46292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58467-2024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46292</v>
      </c>
      <c r="F38" t="inlineStr">
        <is>
          <t>VÄSTRA GÖTALANDS LÄN</t>
        </is>
      </c>
      <c r="G38" t="inlineStr">
        <is>
          <t>SKÖVDE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Sommarfibbla
Mattlummer</t>
        </is>
      </c>
      <c r="W38">
        <f>HYPERLINK("https://klasma.github.io/Logging_1496/artfynd/A 58467-2024 artfynd.xlsx", "A 58467-2024")</f>
        <v/>
      </c>
      <c r="X38">
        <f>HYPERLINK("https://klasma.github.io/Logging_1496/kartor/A 58467-2024 karta.png", "A 58467-2024")</f>
        <v/>
      </c>
      <c r="Y38">
        <f>HYPERLINK("https://klasma.github.io/Logging_1496/kartor_geotiff/A 58467-2024 georefererad karta.tif", "A 58467-2024")</f>
        <v/>
      </c>
      <c r="AA38">
        <f>HYPERLINK("https://klasma.github.io/Logging_1496/klagomål/A 58467-2024 FSC-klagomål.docx", "A 58467-2024")</f>
        <v/>
      </c>
      <c r="AB38">
        <f>HYPERLINK("https://klasma.github.io/Logging_1496/klagomålsmail/A 58467-2024 FSC-klagomål mail.docx", "A 58467-2024")</f>
        <v/>
      </c>
      <c r="AC38">
        <f>HYPERLINK("https://klasma.github.io/Logging_1496/tillsyn/A 58467-2024 tillsynsbegäran.docx", "A 58467-2024")</f>
        <v/>
      </c>
      <c r="AD38">
        <f>HYPERLINK("https://klasma.github.io/Logging_1496/tillsynsmail/A 58467-2024 tillsynsbegäran mail.docx", "A 58467-2024")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46292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46292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Gullpudra</t>
        </is>
      </c>
      <c r="W40">
        <f>HYPERLINK("https://klasma.github.io/Logging_1496/artfynd/A 14964-2025 artfynd.xlsx", "A 14964-2025")</f>
        <v/>
      </c>
      <c r="X40">
        <f>HYPERLINK("https://klasma.github.io/Logging_1496/kartor/A 14964-2025 karta.png", "A 14964-2025")</f>
        <v/>
      </c>
      <c r="Y40">
        <f>HYPERLINK("https://klasma.github.io/Logging_1496/kartor_geotiff/A 14964-2025 georefererad karta.tif", "A 14964-2025")</f>
        <v/>
      </c>
      <c r="AA40">
        <f>HYPERLINK("https://klasma.github.io/Logging_1496/klagomål/A 14964-2025 FSC-klagomål.docx", "A 14964-2025")</f>
        <v/>
      </c>
      <c r="AB40">
        <f>HYPERLINK("https://klasma.github.io/Logging_1496/klagomålsmail/A 14964-2025 FSC-klagomål mail.docx", "A 14964-2025")</f>
        <v/>
      </c>
      <c r="AC40">
        <f>HYPERLINK("https://klasma.github.io/Logging_1496/tillsyn/A 14964-2025 tillsynsbegäran.docx", "A 14964-2025")</f>
        <v/>
      </c>
      <c r="AD40">
        <f>HYPERLINK("https://klasma.github.io/Logging_1496/tillsynsmail/A 14964-2025 tillsynsbegäran mail.docx", "A 14964-2025")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46292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46292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4464-2026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46045</v>
      </c>
      <c r="E43" s="1" t="n">
        <v>46292</v>
      </c>
      <c r="F43" t="inlineStr">
        <is>
          <t>VÄSTRA GÖTALANDS LÄN</t>
        </is>
      </c>
      <c r="G43" t="inlineStr">
        <is>
          <t>SKÖVDE</t>
        </is>
      </c>
      <c r="I43" t="n">
        <v>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Myskmadra</t>
        </is>
      </c>
      <c r="W43">
        <f>HYPERLINK("https://klasma.github.io/Logging_1496/artfynd/A 4464-2026 artfynd.xlsx", "A 4464-2026")</f>
        <v/>
      </c>
      <c r="X43">
        <f>HYPERLINK("https://klasma.github.io/Logging_1496/kartor/A 4464-2026 karta.png", "A 4464-2026")</f>
        <v/>
      </c>
      <c r="Y43">
        <f>HYPERLINK("https://klasma.github.io/Logging_1496/kartor_geotiff/A 4464-2026 georefererad karta.tif", "A 4464-2026")</f>
        <v/>
      </c>
      <c r="AA43">
        <f>HYPERLINK("https://klasma.github.io/Logging_1496/klagomål/A 4464-2026 FSC-klagomål.docx", "A 4464-2026")</f>
        <v/>
      </c>
      <c r="AB43">
        <f>HYPERLINK("https://klasma.github.io/Logging_1496/klagomålsmail/A 4464-2026 FSC-klagomål mail.docx", "A 4464-2026")</f>
        <v/>
      </c>
      <c r="AC43">
        <f>HYPERLINK("https://klasma.github.io/Logging_1496/tillsyn/A 4464-2026 tillsynsbegäran.docx", "A 4464-2026")</f>
        <v/>
      </c>
      <c r="AD43">
        <f>HYPERLINK("https://klasma.github.io/Logging_1496/tillsynsmail/A 4464-2026 tillsynsbegäran mail.docx", "A 4464-2026")</f>
        <v/>
      </c>
    </row>
    <row r="44" ht="15" customHeight="1">
      <c r="A44" t="inlineStr">
        <is>
          <t>A 6093-2026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46052</v>
      </c>
      <c r="E44" s="1" t="n">
        <v>46292</v>
      </c>
      <c r="F44" t="inlineStr">
        <is>
          <t>VÄSTRA GÖTALANDS LÄN</t>
        </is>
      </c>
      <c r="G44" t="inlineStr">
        <is>
          <t>SKÖVDE</t>
        </is>
      </c>
      <c r="I44" t="n">
        <v>5.8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Svinrot</t>
        </is>
      </c>
      <c r="W44">
        <f>HYPERLINK("https://klasma.github.io/Logging_1496/artfynd/A 6093-2026 artfynd.xlsx", "A 6093-2026")</f>
        <v/>
      </c>
      <c r="X44">
        <f>HYPERLINK("https://klasma.github.io/Logging_1496/kartor/A 6093-2026 karta.png", "A 6093-2026")</f>
        <v/>
      </c>
      <c r="Y44">
        <f>HYPERLINK("https://klasma.github.io/Logging_1496/kartor_geotiff/A 6093-2026 georefererad karta.tif", "A 6093-2026")</f>
        <v/>
      </c>
      <c r="AA44">
        <f>HYPERLINK("https://klasma.github.io/Logging_1496/klagomål/A 6093-2026 FSC-klagomål.docx", "A 6093-2026")</f>
        <v/>
      </c>
      <c r="AB44">
        <f>HYPERLINK("https://klasma.github.io/Logging_1496/klagomålsmail/A 6093-2026 FSC-klagomål mail.docx", "A 6093-2026")</f>
        <v/>
      </c>
      <c r="AC44">
        <f>HYPERLINK("https://klasma.github.io/Logging_1496/tillsyn/A 6093-2026 tillsynsbegäran.docx", "A 6093-2026")</f>
        <v/>
      </c>
      <c r="AD44">
        <f>HYPERLINK("https://klasma.github.io/Logging_1496/tillsynsmail/A 6093-2026 tillsynsbegäran mail.docx", "A 6093-2026")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46292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46292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46292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46292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46292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46292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46292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46292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46292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46292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46292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46292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46292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46292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46292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46292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46292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46292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46292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46292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46292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46292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46292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46292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46292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46292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46292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46292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46292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46292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46292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46292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46292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46292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46292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46292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46292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46292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46292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46292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46292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46292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46292</v>
      </c>
      <c r="F88" t="inlineStr">
        <is>
          <t>VÄSTRA GÖTALANDS LÄN</t>
        </is>
      </c>
      <c r="G88" t="inlineStr">
        <is>
          <t>SKÖVDE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46292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46292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46292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46292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46292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46292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45314</v>
      </c>
      <c r="E95" s="1" t="n">
        <v>46292</v>
      </c>
      <c r="F95" t="inlineStr">
        <is>
          <t>VÄSTRA GÖTALANDS LÄN</t>
        </is>
      </c>
      <c r="G95" t="inlineStr">
        <is>
          <t>SKÖVDE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46292</v>
      </c>
      <c r="F96" t="inlineStr">
        <is>
          <t>VÄSTRA GÖTALANDS LÄN</t>
        </is>
      </c>
      <c r="G96" t="inlineStr">
        <is>
          <t>SKÖVDE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45142</v>
      </c>
      <c r="E97" s="1" t="n">
        <v>46292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46017</v>
      </c>
      <c r="E98" s="1" t="n">
        <v>46292</v>
      </c>
      <c r="F98" t="inlineStr">
        <is>
          <t>VÄSTRA GÖTALANDS LÄN</t>
        </is>
      </c>
      <c r="G98" t="inlineStr">
        <is>
          <t>SKÖVDE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46292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46292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Kyrkan</t>
        </is>
      </c>
      <c r="I100" t="n">
        <v>10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46292</v>
      </c>
      <c r="F101" t="inlineStr">
        <is>
          <t>VÄSTRA GÖTALANDS LÄN</t>
        </is>
      </c>
      <c r="G101" t="inlineStr">
        <is>
          <t>SKÖVDE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46292</v>
      </c>
      <c r="F102" t="inlineStr">
        <is>
          <t>VÄSTRA GÖTALANDS LÄN</t>
        </is>
      </c>
      <c r="G102" t="inlineStr">
        <is>
          <t>SKÖVDE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46292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46292</v>
      </c>
      <c r="F104" t="inlineStr">
        <is>
          <t>VÄSTRA GÖTALANDS LÄN</t>
        </is>
      </c>
      <c r="G104" t="inlineStr">
        <is>
          <t>SKÖVDE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46292</v>
      </c>
      <c r="F105" t="inlineStr">
        <is>
          <t>VÄSTRA GÖTALANDS LÄN</t>
        </is>
      </c>
      <c r="G105" t="inlineStr">
        <is>
          <t>SKÖVDE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46292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46292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46292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46292</v>
      </c>
      <c r="F109" t="inlineStr">
        <is>
          <t>VÄSTRA GÖTALANDS LÄN</t>
        </is>
      </c>
      <c r="G109" t="inlineStr">
        <is>
          <t>SKÖVDE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46292</v>
      </c>
      <c r="F110" t="inlineStr">
        <is>
          <t>VÄSTRA GÖTALANDS LÄN</t>
        </is>
      </c>
      <c r="G110" t="inlineStr">
        <is>
          <t>SKÖVDE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46292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46292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46292</v>
      </c>
      <c r="F113" t="inlineStr">
        <is>
          <t>VÄSTRA GÖTALANDS LÄN</t>
        </is>
      </c>
      <c r="G113" t="inlineStr">
        <is>
          <t>SKÖVDE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46292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46292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46292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46292</v>
      </c>
      <c r="F117" t="inlineStr">
        <is>
          <t>VÄSTRA GÖTALANDS LÄN</t>
        </is>
      </c>
      <c r="G117" t="inlineStr">
        <is>
          <t>SKÖVDE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47466-2024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45586</v>
      </c>
      <c r="E118" s="1" t="n">
        <v>46292</v>
      </c>
      <c r="F118" t="inlineStr">
        <is>
          <t>VÄSTRA GÖTALANDS LÄN</t>
        </is>
      </c>
      <c r="G118" t="inlineStr">
        <is>
          <t>SKÖVDE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46292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25639-2025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45800</v>
      </c>
      <c r="E120" s="1" t="n">
        <v>46292</v>
      </c>
      <c r="F120" t="inlineStr">
        <is>
          <t>VÄSTRA GÖTALANDS LÄN</t>
        </is>
      </c>
      <c r="G120" t="inlineStr">
        <is>
          <t>SKÖVDE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46292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46052</v>
      </c>
      <c r="E122" s="1" t="n">
        <v>46292</v>
      </c>
      <c r="F122" t="inlineStr">
        <is>
          <t>VÄSTRA GÖTALANDS LÄN</t>
        </is>
      </c>
      <c r="G122" t="inlineStr">
        <is>
          <t>SKÖVDE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46292</v>
      </c>
      <c r="F123" t="inlineStr">
        <is>
          <t>VÄSTRA GÖTALANDS LÄN</t>
        </is>
      </c>
      <c r="G123" t="inlineStr">
        <is>
          <t>SKÖVDE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46292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46292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45547</v>
      </c>
      <c r="E126" s="1" t="n">
        <v>46292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46292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Övriga statliga verk och myndigheter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46292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Övriga statliga verk och myndigheter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63375-2025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46292</v>
      </c>
      <c r="F129" t="inlineStr">
        <is>
          <t>VÄSTRA GÖTALANDS LÄN</t>
        </is>
      </c>
      <c r="G129" t="inlineStr">
        <is>
          <t>SKÖVDE</t>
        </is>
      </c>
      <c r="H129" t="inlineStr">
        <is>
          <t>Övriga statliga verk och myndigheter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46292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Övriga statliga verk och myndigheter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46292</v>
      </c>
      <c r="F131" t="inlineStr">
        <is>
          <t>VÄSTRA GÖTALANDS LÄN</t>
        </is>
      </c>
      <c r="G131" t="inlineStr">
        <is>
          <t>SKÖVDE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46292</v>
      </c>
      <c r="F132" t="inlineStr">
        <is>
          <t>VÄSTRA GÖTALANDS LÄN</t>
        </is>
      </c>
      <c r="G132" t="inlineStr">
        <is>
          <t>SKÖVDE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46292</v>
      </c>
      <c r="F133" t="inlineStr">
        <is>
          <t>VÄSTRA GÖTALANDS LÄN</t>
        </is>
      </c>
      <c r="G133" t="inlineStr">
        <is>
          <t>SKÖVDE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46292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46292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46292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46292</v>
      </c>
      <c r="F137" t="inlineStr">
        <is>
          <t>VÄSTRA GÖTALANDS LÄN</t>
        </is>
      </c>
      <c r="G137" t="inlineStr">
        <is>
          <t>SKÖVDE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46292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46292</v>
      </c>
      <c r="F139" t="inlineStr">
        <is>
          <t>VÄSTRA GÖTALANDS LÄN</t>
        </is>
      </c>
      <c r="G139" t="inlineStr">
        <is>
          <t>SKÖVDE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46292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45810</v>
      </c>
      <c r="E141" s="1" t="n">
        <v>46292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46292</v>
      </c>
      <c r="F142" t="inlineStr">
        <is>
          <t>VÄSTRA GÖTALANDS LÄN</t>
        </is>
      </c>
      <c r="G142" t="inlineStr">
        <is>
          <t>SKÖVDE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46292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46292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46292</v>
      </c>
      <c r="F145" t="inlineStr">
        <is>
          <t>VÄSTRA GÖTALANDS LÄN</t>
        </is>
      </c>
      <c r="G145" t="inlineStr">
        <is>
          <t>SKÖVDE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46292</v>
      </c>
      <c r="F146" t="inlineStr">
        <is>
          <t>VÄSTRA GÖTALANDS LÄN</t>
        </is>
      </c>
      <c r="G146" t="inlineStr">
        <is>
          <t>SKÖVDE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44750</v>
      </c>
      <c r="E147" s="1" t="n">
        <v>46292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45590</v>
      </c>
      <c r="E148" s="1" t="n">
        <v>46292</v>
      </c>
      <c r="F148" t="inlineStr">
        <is>
          <t>VÄSTRA GÖTALANDS LÄN</t>
        </is>
      </c>
      <c r="G148" t="inlineStr">
        <is>
          <t>SKÖVDE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46292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46292</v>
      </c>
      <c r="F150" t="inlineStr">
        <is>
          <t>VÄSTRA GÖTALANDS LÄN</t>
        </is>
      </c>
      <c r="G150" t="inlineStr">
        <is>
          <t>SKÖVDE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46292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46292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46292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46292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46292</v>
      </c>
      <c r="F155" t="inlineStr">
        <is>
          <t>VÄSTRA GÖTALANDS LÄN</t>
        </is>
      </c>
      <c r="G155" t="inlineStr">
        <is>
          <t>SKÖVDE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46292</v>
      </c>
      <c r="F156" t="inlineStr">
        <is>
          <t>VÄSTRA GÖTALANDS LÄN</t>
        </is>
      </c>
      <c r="G156" t="inlineStr">
        <is>
          <t>SKÖVDE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46292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13669-2023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45006</v>
      </c>
      <c r="E158" s="1" t="n">
        <v>46292</v>
      </c>
      <c r="F158" t="inlineStr">
        <is>
          <t>VÄSTRA GÖTALANDS LÄN</t>
        </is>
      </c>
      <c r="G158" t="inlineStr">
        <is>
          <t>SKÖVDE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46292</v>
      </c>
      <c r="F159" t="inlineStr">
        <is>
          <t>VÄSTRA GÖTALANDS LÄN</t>
        </is>
      </c>
      <c r="G159" t="inlineStr">
        <is>
          <t>SKÖVDE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45002</v>
      </c>
      <c r="E160" s="1" t="n">
        <v>46292</v>
      </c>
      <c r="F160" t="inlineStr">
        <is>
          <t>VÄSTRA GÖTALANDS LÄN</t>
        </is>
      </c>
      <c r="G160" t="inlineStr">
        <is>
          <t>SKÖVDE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46292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46292</v>
      </c>
      <c r="F162" t="inlineStr">
        <is>
          <t>VÄSTRA GÖTALANDS LÄN</t>
        </is>
      </c>
      <c r="G162" t="inlineStr">
        <is>
          <t>SKÖVDE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46292</v>
      </c>
      <c r="F163" t="inlineStr">
        <is>
          <t>VÄSTRA GÖTALANDS LÄN</t>
        </is>
      </c>
      <c r="G163" t="inlineStr">
        <is>
          <t>SKÖVDE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46292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46292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46292</v>
      </c>
      <c r="F166" t="inlineStr">
        <is>
          <t>VÄSTRA GÖTALANDS LÄN</t>
        </is>
      </c>
      <c r="G166" t="inlineStr">
        <is>
          <t>SKÖVDE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46292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46292</v>
      </c>
      <c r="F168" t="inlineStr">
        <is>
          <t>VÄSTRA GÖTALANDS LÄN</t>
        </is>
      </c>
      <c r="G168" t="inlineStr">
        <is>
          <t>SKÖVDE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46292</v>
      </c>
      <c r="F169" t="inlineStr">
        <is>
          <t>VÄSTRA GÖTALANDS LÄN</t>
        </is>
      </c>
      <c r="G169" t="inlineStr">
        <is>
          <t>SKÖVDE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46292</v>
      </c>
      <c r="F170" t="inlineStr">
        <is>
          <t>VÄSTRA GÖTALANDS LÄN</t>
        </is>
      </c>
      <c r="G170" t="inlineStr">
        <is>
          <t>SKÖVDE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46292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46292</v>
      </c>
      <c r="F172" t="inlineStr">
        <is>
          <t>VÄSTRA GÖTALANDS LÄN</t>
        </is>
      </c>
      <c r="G172" t="inlineStr">
        <is>
          <t>SKÖVDE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46292</v>
      </c>
      <c r="F173" t="inlineStr">
        <is>
          <t>VÄSTRA GÖTALANDS LÄN</t>
        </is>
      </c>
      <c r="G173" t="inlineStr">
        <is>
          <t>SKÖVDE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46292</v>
      </c>
      <c r="F174" t="inlineStr">
        <is>
          <t>VÄSTRA GÖTALANDS LÄN</t>
        </is>
      </c>
      <c r="G174" t="inlineStr">
        <is>
          <t>SKÖVDE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46292</v>
      </c>
      <c r="F175" t="inlineStr">
        <is>
          <t>VÄSTRA GÖTALANDS LÄN</t>
        </is>
      </c>
      <c r="G175" t="inlineStr">
        <is>
          <t>SKÖVDE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46292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46292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46292</v>
      </c>
      <c r="F178" t="inlineStr">
        <is>
          <t>VÄSTRA GÖTALANDS LÄN</t>
        </is>
      </c>
      <c r="G178" t="inlineStr">
        <is>
          <t>SKÖVDE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46292</v>
      </c>
      <c r="F179" t="inlineStr">
        <is>
          <t>VÄSTRA GÖTALANDS LÄN</t>
        </is>
      </c>
      <c r="G179" t="inlineStr">
        <is>
          <t>SKÖVDE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46292</v>
      </c>
      <c r="F180" t="inlineStr">
        <is>
          <t>VÄSTRA GÖTALANDS LÄN</t>
        </is>
      </c>
      <c r="G180" t="inlineStr">
        <is>
          <t>SKÖVDE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46292</v>
      </c>
      <c r="F181" t="inlineStr">
        <is>
          <t>VÄSTRA GÖTALANDS LÄN</t>
        </is>
      </c>
      <c r="G181" t="inlineStr">
        <is>
          <t>SKÖVDE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46292</v>
      </c>
      <c r="F182" t="inlineStr">
        <is>
          <t>VÄSTRA GÖTALANDS LÄN</t>
        </is>
      </c>
      <c r="G182" t="inlineStr">
        <is>
          <t>SKÖVDE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46292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46292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Kommuner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46292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46292</v>
      </c>
      <c r="F186" t="inlineStr">
        <is>
          <t>VÄSTRA GÖTALANDS LÄN</t>
        </is>
      </c>
      <c r="G186" t="inlineStr">
        <is>
          <t>SKÖVDE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46292</v>
      </c>
      <c r="F187" t="inlineStr">
        <is>
          <t>VÄSTRA GÖTALANDS LÄN</t>
        </is>
      </c>
      <c r="G187" t="inlineStr">
        <is>
          <t>SKÖVDE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46292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46292</v>
      </c>
      <c r="F189" t="inlineStr">
        <is>
          <t>VÄSTRA GÖTALANDS LÄN</t>
        </is>
      </c>
      <c r="G189" t="inlineStr">
        <is>
          <t>SKÖVDE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46292</v>
      </c>
      <c r="F190" t="inlineStr">
        <is>
          <t>VÄSTRA GÖTALANDS LÄN</t>
        </is>
      </c>
      <c r="G190" t="inlineStr">
        <is>
          <t>SKÖVDE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46292</v>
      </c>
      <c r="F191" t="inlineStr">
        <is>
          <t>VÄSTRA GÖTALANDS LÄN</t>
        </is>
      </c>
      <c r="G191" t="inlineStr">
        <is>
          <t>SKÖVDE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46292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46292</v>
      </c>
      <c r="F193" t="inlineStr">
        <is>
          <t>VÄSTRA GÖTALANDS LÄN</t>
        </is>
      </c>
      <c r="G193" t="inlineStr">
        <is>
          <t>SKÖVDE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46292</v>
      </c>
      <c r="F194" t="inlineStr">
        <is>
          <t>VÄSTRA GÖTALANDS LÄN</t>
        </is>
      </c>
      <c r="G194" t="inlineStr">
        <is>
          <t>SKÖVDE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46292</v>
      </c>
      <c r="F195" t="inlineStr">
        <is>
          <t>VÄSTRA GÖTALANDS LÄN</t>
        </is>
      </c>
      <c r="G195" t="inlineStr">
        <is>
          <t>SKÖVDE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46292</v>
      </c>
      <c r="F196" t="inlineStr">
        <is>
          <t>VÄSTRA GÖTALANDS LÄN</t>
        </is>
      </c>
      <c r="G196" t="inlineStr">
        <is>
          <t>SKÖVDE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46292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46292</v>
      </c>
      <c r="F198" t="inlineStr">
        <is>
          <t>VÄSTRA GÖTALANDS LÄN</t>
        </is>
      </c>
      <c r="G198" t="inlineStr">
        <is>
          <t>SKÖVDE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46292</v>
      </c>
      <c r="F199" t="inlineStr">
        <is>
          <t>VÄSTRA GÖTALANDS LÄN</t>
        </is>
      </c>
      <c r="G199" t="inlineStr">
        <is>
          <t>SKÖVDE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46292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44959</v>
      </c>
      <c r="E201" s="1" t="n">
        <v>46292</v>
      </c>
      <c r="F201" t="inlineStr">
        <is>
          <t>VÄSTRA GÖTALANDS LÄN</t>
        </is>
      </c>
      <c r="G201" t="inlineStr">
        <is>
          <t>SKÖVDE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17798-2024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45418</v>
      </c>
      <c r="E202" s="1" t="n">
        <v>46292</v>
      </c>
      <c r="F202" t="inlineStr">
        <is>
          <t>VÄSTRA GÖTALANDS LÄN</t>
        </is>
      </c>
      <c r="G202" t="inlineStr">
        <is>
          <t>SKÖVDE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46292</v>
      </c>
      <c r="F203" t="inlineStr">
        <is>
          <t>VÄSTRA GÖTALANDS LÄN</t>
        </is>
      </c>
      <c r="G203" t="inlineStr">
        <is>
          <t>SKÖVDE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46292</v>
      </c>
      <c r="F204" t="inlineStr">
        <is>
          <t>VÄSTRA GÖTALANDS LÄN</t>
        </is>
      </c>
      <c r="G204" t="inlineStr">
        <is>
          <t>SKÖVDE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46292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46292</v>
      </c>
      <c r="F206" t="inlineStr">
        <is>
          <t>VÄSTRA GÖTALANDS LÄN</t>
        </is>
      </c>
      <c r="G206" t="inlineStr">
        <is>
          <t>SKÖVDE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26914-2026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46185</v>
      </c>
      <c r="E207" s="1" t="n">
        <v>46292</v>
      </c>
      <c r="F207" t="inlineStr">
        <is>
          <t>VÄSTRA GÖTALANDS LÄN</t>
        </is>
      </c>
      <c r="G207" t="inlineStr">
        <is>
          <t>SKÖVDE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46292</v>
      </c>
      <c r="F208" t="inlineStr">
        <is>
          <t>VÄSTRA GÖTALANDS LÄN</t>
        </is>
      </c>
      <c r="G208" t="inlineStr">
        <is>
          <t>SKÖVDE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46292</v>
      </c>
      <c r="F209" t="inlineStr">
        <is>
          <t>VÄSTRA GÖTALANDS LÄN</t>
        </is>
      </c>
      <c r="G209" t="inlineStr">
        <is>
          <t>SKÖVDE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46292</v>
      </c>
      <c r="F210" t="inlineStr">
        <is>
          <t>VÄSTRA GÖTALANDS LÄN</t>
        </is>
      </c>
      <c r="G210" t="inlineStr">
        <is>
          <t>SKÖVDE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46202</v>
      </c>
      <c r="E211" s="1" t="n">
        <v>46292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46292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45230</v>
      </c>
      <c r="E213" s="1" t="n">
        <v>46292</v>
      </c>
      <c r="F213" t="inlineStr">
        <is>
          <t>VÄSTRA GÖTALANDS LÄN</t>
        </is>
      </c>
      <c r="G213" t="inlineStr">
        <is>
          <t>SKÖVDE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46292</v>
      </c>
      <c r="F214" t="inlineStr">
        <is>
          <t>VÄSTRA GÖTALANDS LÄN</t>
        </is>
      </c>
      <c r="G214" t="inlineStr">
        <is>
          <t>SKÖVDE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46292</v>
      </c>
      <c r="F215" t="inlineStr">
        <is>
          <t>VÄSTRA GÖTALANDS LÄN</t>
        </is>
      </c>
      <c r="G215" t="inlineStr">
        <is>
          <t>SKÖVDE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46292</v>
      </c>
      <c r="F216" t="inlineStr">
        <is>
          <t>VÄSTRA GÖTALANDS LÄN</t>
        </is>
      </c>
      <c r="G216" t="inlineStr">
        <is>
          <t>SKÖVDE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46292</v>
      </c>
      <c r="F217" t="inlineStr">
        <is>
          <t>VÄSTRA GÖTALANDS LÄN</t>
        </is>
      </c>
      <c r="G217" t="inlineStr">
        <is>
          <t>SKÖVDE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46292</v>
      </c>
      <c r="F218" t="inlineStr">
        <is>
          <t>VÄSTRA GÖTALANDS LÄN</t>
        </is>
      </c>
      <c r="G218" t="inlineStr">
        <is>
          <t>SKÖVDE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46292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46292</v>
      </c>
      <c r="F220" t="inlineStr">
        <is>
          <t>VÄSTRA GÖTALANDS LÄN</t>
        </is>
      </c>
      <c r="G220" t="inlineStr">
        <is>
          <t>SKÖVDE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45134</v>
      </c>
      <c r="E221" s="1" t="n">
        <v>46292</v>
      </c>
      <c r="F221" t="inlineStr">
        <is>
          <t>VÄSTRA GÖTALANDS LÄN</t>
        </is>
      </c>
      <c r="G221" t="inlineStr">
        <is>
          <t>SKÖVDE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45694</v>
      </c>
      <c r="E222" s="1" t="n">
        <v>46292</v>
      </c>
      <c r="F222" t="inlineStr">
        <is>
          <t>VÄSTRA GÖTALANDS LÄN</t>
        </is>
      </c>
      <c r="G222" t="inlineStr">
        <is>
          <t>SKÖVDE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46272</v>
      </c>
      <c r="E223" s="1" t="n">
        <v>46292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46269</v>
      </c>
      <c r="E224" s="1" t="n">
        <v>46292</v>
      </c>
      <c r="F224" t="inlineStr">
        <is>
          <t>VÄSTRA GÖTALANDS LÄN</t>
        </is>
      </c>
      <c r="G224" t="inlineStr">
        <is>
          <t>SKÖVDE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46292</v>
      </c>
      <c r="F225" t="inlineStr">
        <is>
          <t>VÄSTRA GÖTALANDS LÄN</t>
        </is>
      </c>
      <c r="G225" t="inlineStr">
        <is>
          <t>SKÖVDE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44586</v>
      </c>
      <c r="E226" s="1" t="n">
        <v>46292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46292</v>
      </c>
      <c r="F227" t="inlineStr">
        <is>
          <t>VÄSTRA GÖTALANDS LÄN</t>
        </is>
      </c>
      <c r="G227" t="inlineStr">
        <is>
          <t>SKÖVDE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46292</v>
      </c>
      <c r="F228" t="inlineStr">
        <is>
          <t>VÄSTRA GÖTALANDS LÄN</t>
        </is>
      </c>
      <c r="G228" t="inlineStr">
        <is>
          <t>SKÖVDE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46292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46292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46292</v>
      </c>
      <c r="F231" t="inlineStr">
        <is>
          <t>VÄSTRA GÖTALANDS LÄN</t>
        </is>
      </c>
      <c r="G231" t="inlineStr">
        <is>
          <t>SKÖVDE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46292</v>
      </c>
      <c r="F232" t="inlineStr">
        <is>
          <t>VÄSTRA GÖTALANDS LÄN</t>
        </is>
      </c>
      <c r="G232" t="inlineStr">
        <is>
          <t>SKÖVDE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44601</v>
      </c>
      <c r="E233" s="1" t="n">
        <v>46292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44963</v>
      </c>
      <c r="E234" s="1" t="n">
        <v>46292</v>
      </c>
      <c r="F234" t="inlineStr">
        <is>
          <t>VÄSTRA GÖTALANDS LÄN</t>
        </is>
      </c>
      <c r="G234" t="inlineStr">
        <is>
          <t>SKÖVDE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46292</v>
      </c>
      <c r="F235" t="inlineStr">
        <is>
          <t>VÄSTRA GÖTALANDS LÄN</t>
        </is>
      </c>
      <c r="G235" t="inlineStr">
        <is>
          <t>SKÖVDE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46292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45013</v>
      </c>
      <c r="E237" s="1" t="n">
        <v>46292</v>
      </c>
      <c r="F237" t="inlineStr">
        <is>
          <t>VÄSTRA GÖTALANDS LÄN</t>
        </is>
      </c>
      <c r="G237" t="inlineStr">
        <is>
          <t>SKÖVDE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67134-2021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44523</v>
      </c>
      <c r="E238" s="1" t="n">
        <v>46292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45105</v>
      </c>
      <c r="E239" s="1" t="n">
        <v>46292</v>
      </c>
      <c r="F239" t="inlineStr">
        <is>
          <t>VÄSTRA GÖTALANDS LÄN</t>
        </is>
      </c>
      <c r="G239" t="inlineStr">
        <is>
          <t>SKÖVDE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46292</v>
      </c>
      <c r="F240" t="inlineStr">
        <is>
          <t>VÄSTRA GÖTALANDS LÄN</t>
        </is>
      </c>
      <c r="G240" t="inlineStr">
        <is>
          <t>SKÖVDE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46292</v>
      </c>
      <c r="F241" t="inlineStr">
        <is>
          <t>VÄSTRA GÖTALANDS LÄN</t>
        </is>
      </c>
      <c r="G241" t="inlineStr">
        <is>
          <t>SKÖVDE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44495</v>
      </c>
      <c r="E242" s="1" t="n">
        <v>46292</v>
      </c>
      <c r="F242" t="inlineStr">
        <is>
          <t>VÄSTRA GÖTALANDS LÄN</t>
        </is>
      </c>
      <c r="G242" t="inlineStr">
        <is>
          <t>SKÖVDE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35280-2024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45530</v>
      </c>
      <c r="E243" s="1" t="n">
        <v>46292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46292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46292</v>
      </c>
      <c r="F245" t="inlineStr">
        <is>
          <t>VÄSTRA GÖTALANDS LÄN</t>
        </is>
      </c>
      <c r="G245" t="inlineStr">
        <is>
          <t>SKÖVDE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46292</v>
      </c>
      <c r="F246" t="inlineStr">
        <is>
          <t>VÄSTRA GÖTALANDS LÄN</t>
        </is>
      </c>
      <c r="G246" t="inlineStr">
        <is>
          <t>SKÖVDE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45687</v>
      </c>
      <c r="E247" s="1" t="n">
        <v>46292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46292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46292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46292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46292</v>
      </c>
      <c r="F251" t="inlineStr">
        <is>
          <t>VÄSTRA GÖTALANDS LÄN</t>
        </is>
      </c>
      <c r="G251" t="inlineStr">
        <is>
          <t>SKÖVDE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46292</v>
      </c>
      <c r="F252" t="inlineStr">
        <is>
          <t>VÄSTRA GÖTALANDS LÄN</t>
        </is>
      </c>
      <c r="G252" t="inlineStr">
        <is>
          <t>SKÖVDE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46292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60588-2023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45259</v>
      </c>
      <c r="E254" s="1" t="n">
        <v>46292</v>
      </c>
      <c r="F254" t="inlineStr">
        <is>
          <t>VÄSTRA GÖTALANDS LÄN</t>
        </is>
      </c>
      <c r="G254" t="inlineStr">
        <is>
          <t>SKÖVDE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45775</v>
      </c>
      <c r="E255" s="1" t="n">
        <v>46292</v>
      </c>
      <c r="F255" t="inlineStr">
        <is>
          <t>VÄSTRA GÖTALANDS LÄN</t>
        </is>
      </c>
      <c r="G255" t="inlineStr">
        <is>
          <t>SKÖVDE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46292</v>
      </c>
      <c r="F256" t="inlineStr">
        <is>
          <t>VÄSTRA GÖTALANDS LÄN</t>
        </is>
      </c>
      <c r="G256" t="inlineStr">
        <is>
          <t>SKÖVDE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45710</v>
      </c>
      <c r="E257" s="1" t="n">
        <v>46292</v>
      </c>
      <c r="F257" t="inlineStr">
        <is>
          <t>VÄSTRA GÖTALANDS LÄN</t>
        </is>
      </c>
      <c r="G257" t="inlineStr">
        <is>
          <t>SKÖVDE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46292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46292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46292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46292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2026-09-27T02:00:02Z</dcterms:created>
  <dcterms:modified xmlns:dcterms="http://purl.org/dc/terms/" xmlns:xsi="http://www.w3.org/2001/XMLSchema-instance" xsi:type="dcterms:W3CDTF">2026-09-27T02:00:02Z</dcterms:modified>
</cp:coreProperties>
</file>