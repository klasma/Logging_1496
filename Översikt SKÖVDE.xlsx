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45695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45695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45695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45695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45695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45695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45695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45695</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45695</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45695</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45695</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45695</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45695</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45695</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45695</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45695</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45695</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45695</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45695</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45695</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45695</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45695</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45695</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45695</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45695</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45695</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45695</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45695</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45695</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45695</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45695</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39092-2022</t>
        </is>
      </c>
      <c r="B34" s="1" t="n">
        <v>44817</v>
      </c>
      <c r="C34" s="1" t="n">
        <v>45695</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45695</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45695</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45695</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45695</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45695</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45695</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45695</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45695</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45695</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45695</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45695</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23092-2024</t>
        </is>
      </c>
      <c r="B46" s="1" t="n">
        <v>45450</v>
      </c>
      <c r="C46" s="1" t="n">
        <v>45695</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32422-2024</t>
        </is>
      </c>
      <c r="B47" s="1" t="n">
        <v>45512</v>
      </c>
      <c r="C47" s="1" t="n">
        <v>45695</v>
      </c>
      <c r="D47" t="inlineStr">
        <is>
          <t>VÄSTRA GÖTALANDS LÄN</t>
        </is>
      </c>
      <c r="E47" t="inlineStr">
        <is>
          <t>SKÖVDE</t>
        </is>
      </c>
      <c r="G47" t="n">
        <v>3</v>
      </c>
      <c r="H47" t="n">
        <v>0</v>
      </c>
      <c r="I47" t="n">
        <v>0</v>
      </c>
      <c r="J47" t="n">
        <v>1</v>
      </c>
      <c r="K47" t="n">
        <v>0</v>
      </c>
      <c r="L47" t="n">
        <v>0</v>
      </c>
      <c r="M47" t="n">
        <v>0</v>
      </c>
      <c r="N47" t="n">
        <v>0</v>
      </c>
      <c r="O47" t="n">
        <v>1</v>
      </c>
      <c r="P47" t="n">
        <v>0</v>
      </c>
      <c r="Q47" t="n">
        <v>1</v>
      </c>
      <c r="R47" s="2" t="inlineStr">
        <is>
          <t>Slåtterfibbla</t>
        </is>
      </c>
      <c r="S47">
        <f>HYPERLINK("https://klasma.github.io/Logging_1496/artfynd/A 32422-2024 artfynd.xlsx", "A 32422-2024")</f>
        <v/>
      </c>
      <c r="T47">
        <f>HYPERLINK("https://klasma.github.io/Logging_1496/kartor/A 32422-2024 karta.png", "A 32422-2024")</f>
        <v/>
      </c>
      <c r="V47">
        <f>HYPERLINK("https://klasma.github.io/Logging_1496/klagomål/A 32422-2024 FSC-klagomål.docx", "A 32422-2024")</f>
        <v/>
      </c>
      <c r="W47">
        <f>HYPERLINK("https://klasma.github.io/Logging_1496/klagomålsmail/A 32422-2024 FSC-klagomål mail.docx", "A 32422-2024")</f>
        <v/>
      </c>
      <c r="X47">
        <f>HYPERLINK("https://klasma.github.io/Logging_1496/tillsyn/A 32422-2024 tillsynsbegäran.docx", "A 32422-2024")</f>
        <v/>
      </c>
      <c r="Y47">
        <f>HYPERLINK("https://klasma.github.io/Logging_1496/tillsynsmail/A 32422-2024 tillsynsbegäran mail.docx", "A 32422-2024")</f>
        <v/>
      </c>
    </row>
    <row r="48" ht="15" customHeight="1">
      <c r="A48" t="inlineStr">
        <is>
          <t>A 58467-2024</t>
        </is>
      </c>
      <c r="B48" s="1" t="n">
        <v>45635</v>
      </c>
      <c r="C48" s="1" t="n">
        <v>45695</v>
      </c>
      <c r="D48" t="inlineStr">
        <is>
          <t>VÄSTRA GÖTALANDS LÄN</t>
        </is>
      </c>
      <c r="E48" t="inlineStr">
        <is>
          <t>SKÖVDE</t>
        </is>
      </c>
      <c r="G48" t="n">
        <v>1</v>
      </c>
      <c r="H48" t="n">
        <v>0</v>
      </c>
      <c r="I48" t="n">
        <v>0</v>
      </c>
      <c r="J48" t="n">
        <v>1</v>
      </c>
      <c r="K48" t="n">
        <v>0</v>
      </c>
      <c r="L48" t="n">
        <v>0</v>
      </c>
      <c r="M48" t="n">
        <v>0</v>
      </c>
      <c r="N48" t="n">
        <v>0</v>
      </c>
      <c r="O48" t="n">
        <v>1</v>
      </c>
      <c r="P48" t="n">
        <v>0</v>
      </c>
      <c r="Q48" t="n">
        <v>1</v>
      </c>
      <c r="R48" s="2" t="inlineStr">
        <is>
          <t>Sommarfibbla</t>
        </is>
      </c>
      <c r="S48">
        <f>HYPERLINK("https://klasma.github.io/Logging_1496/artfynd/A 58467-2024 artfynd.xlsx", "A 58467-2024")</f>
        <v/>
      </c>
      <c r="T48">
        <f>HYPERLINK("https://klasma.github.io/Logging_1496/kartor/A 58467-2024 karta.png", "A 58467-2024")</f>
        <v/>
      </c>
      <c r="V48">
        <f>HYPERLINK("https://klasma.github.io/Logging_1496/klagomål/A 58467-2024 FSC-klagomål.docx", "A 58467-2024")</f>
        <v/>
      </c>
      <c r="W48">
        <f>HYPERLINK("https://klasma.github.io/Logging_1496/klagomålsmail/A 58467-2024 FSC-klagomål mail.docx", "A 58467-2024")</f>
        <v/>
      </c>
      <c r="X48">
        <f>HYPERLINK("https://klasma.github.io/Logging_1496/tillsyn/A 58467-2024 tillsynsbegäran.docx", "A 58467-2024")</f>
        <v/>
      </c>
      <c r="Y48">
        <f>HYPERLINK("https://klasma.github.io/Logging_1496/tillsynsmail/A 58467-2024 tillsynsbegäran mail.docx", "A 58467-2024")</f>
        <v/>
      </c>
    </row>
    <row r="49" ht="15" customHeight="1">
      <c r="A49" t="inlineStr">
        <is>
          <t>A 17841-2019</t>
        </is>
      </c>
      <c r="B49" s="1" t="n">
        <v>43556</v>
      </c>
      <c r="C49" s="1" t="n">
        <v>45695</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45695</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45695</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45695</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45695</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45695</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45695</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45695</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45695</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45695</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45695</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45695</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45695</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45695</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45695</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45695</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45695</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45695</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45695</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45695</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45695</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45695</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45695</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45695</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45695</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45695</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45695</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45695</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45695</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45695</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45695</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45695</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45695</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45695</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45695</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45695</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45695</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45695</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45695</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45695</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45695</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45695</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45695</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45695</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45695</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45695</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45695</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45695</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45695</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45695</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45695</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45695</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45695</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45695</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45695</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45695</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45695</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45695</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45695</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45695</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45695</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45695</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45695</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45695</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45695</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45695</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45695</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45695</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45695</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45695</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45695</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45695</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45695</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45695</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45695</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45695</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45695</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45695</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45695</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45695</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45695</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45695</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45695</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45695</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45695</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45695</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45695</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45695</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45695</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45695</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45695</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45695</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45695</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45695</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45695</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45695</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45695</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45695</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45695</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45695</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45695</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45695</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45695</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45695</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45695</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45695</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45695</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45695</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45695</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45695</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45695</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45695</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45695</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45695</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45695</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45695</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45695</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45695</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45695</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45695</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45695</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45695</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45695</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45695</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45695</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45695</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45695</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45695</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45695</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45695</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45695</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45695</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45695</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45695</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45695</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45695</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45695</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45695</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45695</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45695</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45695</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45695</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45695</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45695</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45695</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45695</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45695</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45695</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45695</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45695</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45695</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45695</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45695</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45695</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45695</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45695</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45695</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45695</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45695</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45695</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45695</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45695</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45695</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45695</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45695</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45695</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45695</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45695</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45695</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45695</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45695</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45695</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45695</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45695</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45695</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45695</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14487-2022</t>
        </is>
      </c>
      <c r="B225" s="1" t="n">
        <v>44652</v>
      </c>
      <c r="C225" s="1" t="n">
        <v>45695</v>
      </c>
      <c r="D225" t="inlineStr">
        <is>
          <t>VÄSTRA GÖTALANDS LÄN</t>
        </is>
      </c>
      <c r="E225" t="inlineStr">
        <is>
          <t>SKÖVDE</t>
        </is>
      </c>
      <c r="G225" t="n">
        <v>2.6</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45695</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45695</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45695</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45695</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45695</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45695</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45695</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45695</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45695</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45695</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45695</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45695</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45695</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45695</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45695</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45695</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45695</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45695</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45695</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45695</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45695</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45695</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45695</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45695</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45695</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45695</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45695</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45695</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45695</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45695</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45695</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45695</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45695</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45695</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45695</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45695</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45695</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45695</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45695</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45695</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45695</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45695</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45695</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45695</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45695</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45695</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45695</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45695</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45695</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45695</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45695</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45695</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45695</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45695</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45695</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45695</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45695</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45695</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45695</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45695</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45695</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45695</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45695</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45695</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45695</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45695</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45695</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45695</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45695</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45695</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45695</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45695</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45695</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45695</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45695</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45695</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45695</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45695</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45695</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45695</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45695</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45695</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45695</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45695</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45695</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45695</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45695</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45695</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45695</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45695</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45695</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45695</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45695</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45695</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45695</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45695</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45695</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45695</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45695</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45695</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45695</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45695</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45695</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45695</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45695</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45695</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45695</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45695</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45695</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45695</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45695</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45695</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45695</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45695</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45695</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45695</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45695</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45695</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45695</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45695</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45695</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45695</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45695</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45695</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45695</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45695</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45695</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45695</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45695</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45695</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45695</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45695</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45695</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45695</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45695</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45695</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45695</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45695</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45695</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45695</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45695</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45695</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45695</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45695</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45695</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45695</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45695</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45695</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45695</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45695</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45695</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45695</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45695</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45695</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45695</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45695</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45695</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45695</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45695</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45695</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45695</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45695</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45695</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45695</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45695</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45695</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45695</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45695</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45695</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45695</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45695</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23080-2024</t>
        </is>
      </c>
      <c r="B397" s="1" t="n">
        <v>45450</v>
      </c>
      <c r="C397" s="1" t="n">
        <v>45695</v>
      </c>
      <c r="D397" t="inlineStr">
        <is>
          <t>VÄSTRA GÖTALANDS LÄN</t>
        </is>
      </c>
      <c r="E397" t="inlineStr">
        <is>
          <t>SKÖVDE</t>
        </is>
      </c>
      <c r="G397" t="n">
        <v>2.6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45695</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45695</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45695</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45695</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45695</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45695</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45695</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45695</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45695</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45695</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45695</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45695</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45695</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45695</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45695</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45695</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45695</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45695</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45695</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45695</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45695</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45695</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45695</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45695</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45695</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45695</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45695</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45695</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45695</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45695</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45695</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45695</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45695</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61213-2024</t>
        </is>
      </c>
      <c r="B431" s="1" t="n">
        <v>45645</v>
      </c>
      <c r="C431" s="1" t="n">
        <v>45695</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row r="432" ht="15" customHeight="1">
      <c r="A432" t="inlineStr">
        <is>
          <t>A 61336-2024</t>
        </is>
      </c>
      <c r="B432" s="1" t="n">
        <v>45645</v>
      </c>
      <c r="C432" s="1" t="n">
        <v>45695</v>
      </c>
      <c r="D432" t="inlineStr">
        <is>
          <t>VÄSTRA GÖTALANDS LÄN</t>
        </is>
      </c>
      <c r="E432" t="inlineStr">
        <is>
          <t>SKÖVDE</t>
        </is>
      </c>
      <c r="G432" t="n">
        <v>1.1</v>
      </c>
      <c r="H432" t="n">
        <v>0</v>
      </c>
      <c r="I432" t="n">
        <v>0</v>
      </c>
      <c r="J432" t="n">
        <v>0</v>
      </c>
      <c r="K432" t="n">
        <v>0</v>
      </c>
      <c r="L432" t="n">
        <v>0</v>
      </c>
      <c r="M432" t="n">
        <v>0</v>
      </c>
      <c r="N432" t="n">
        <v>0</v>
      </c>
      <c r="O432" t="n">
        <v>0</v>
      </c>
      <c r="P432" t="n">
        <v>0</v>
      </c>
      <c r="Q432" t="n">
        <v>0</v>
      </c>
      <c r="R432" s="2" t="inlineStr"/>
    </row>
    <row r="433" ht="15" customHeight="1">
      <c r="A433" t="inlineStr">
        <is>
          <t>A 738-2025</t>
        </is>
      </c>
      <c r="B433" s="1" t="n">
        <v>45665</v>
      </c>
      <c r="C433" s="1" t="n">
        <v>45695</v>
      </c>
      <c r="D433" t="inlineStr">
        <is>
          <t>VÄSTRA GÖTALANDS LÄN</t>
        </is>
      </c>
      <c r="E433" t="inlineStr">
        <is>
          <t>SKÖVDE</t>
        </is>
      </c>
      <c r="G433" t="n">
        <v>1.6</v>
      </c>
      <c r="H433" t="n">
        <v>0</v>
      </c>
      <c r="I433" t="n">
        <v>0</v>
      </c>
      <c r="J433" t="n">
        <v>0</v>
      </c>
      <c r="K433" t="n">
        <v>0</v>
      </c>
      <c r="L433" t="n">
        <v>0</v>
      </c>
      <c r="M433" t="n">
        <v>0</v>
      </c>
      <c r="N433" t="n">
        <v>0</v>
      </c>
      <c r="O433" t="n">
        <v>0</v>
      </c>
      <c r="P433" t="n">
        <v>0</v>
      </c>
      <c r="Q433" t="n">
        <v>0</v>
      </c>
      <c r="R433" s="2" t="inlineStr"/>
    </row>
    <row r="434" ht="15" customHeight="1">
      <c r="A434" t="inlineStr">
        <is>
          <t>A 830-2025</t>
        </is>
      </c>
      <c r="B434" s="1" t="n">
        <v>45665</v>
      </c>
      <c r="C434" s="1" t="n">
        <v>45695</v>
      </c>
      <c r="D434" t="inlineStr">
        <is>
          <t>VÄSTRA GÖTALANDS LÄN</t>
        </is>
      </c>
      <c r="E434" t="inlineStr">
        <is>
          <t>SKÖVDE</t>
        </is>
      </c>
      <c r="G434" t="n">
        <v>3.8</v>
      </c>
      <c r="H434" t="n">
        <v>0</v>
      </c>
      <c r="I434" t="n">
        <v>0</v>
      </c>
      <c r="J434" t="n">
        <v>0</v>
      </c>
      <c r="K434" t="n">
        <v>0</v>
      </c>
      <c r="L434" t="n">
        <v>0</v>
      </c>
      <c r="M434" t="n">
        <v>0</v>
      </c>
      <c r="N434" t="n">
        <v>0</v>
      </c>
      <c r="O434" t="n">
        <v>0</v>
      </c>
      <c r="P434" t="n">
        <v>0</v>
      </c>
      <c r="Q434" t="n">
        <v>0</v>
      </c>
      <c r="R434" s="2" t="inlineStr"/>
    </row>
    <row r="435" ht="15" customHeight="1">
      <c r="A435" t="inlineStr">
        <is>
          <t>A 832-2025</t>
        </is>
      </c>
      <c r="B435" s="1" t="n">
        <v>45665</v>
      </c>
      <c r="C435" s="1" t="n">
        <v>45695</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935-2025</t>
        </is>
      </c>
      <c r="B436" s="1" t="n">
        <v>45666</v>
      </c>
      <c r="C436" s="1" t="n">
        <v>45695</v>
      </c>
      <c r="D436" t="inlineStr">
        <is>
          <t>VÄSTRA GÖTALANDS LÄN</t>
        </is>
      </c>
      <c r="E436" t="inlineStr">
        <is>
          <t>SKÖVDE</t>
        </is>
      </c>
      <c r="G436" t="n">
        <v>1.7</v>
      </c>
      <c r="H436" t="n">
        <v>0</v>
      </c>
      <c r="I436" t="n">
        <v>0</v>
      </c>
      <c r="J436" t="n">
        <v>0</v>
      </c>
      <c r="K436" t="n">
        <v>0</v>
      </c>
      <c r="L436" t="n">
        <v>0</v>
      </c>
      <c r="M436" t="n">
        <v>0</v>
      </c>
      <c r="N436" t="n">
        <v>0</v>
      </c>
      <c r="O436" t="n">
        <v>0</v>
      </c>
      <c r="P436" t="n">
        <v>0</v>
      </c>
      <c r="Q436" t="n">
        <v>0</v>
      </c>
      <c r="R436" s="2" t="inlineStr"/>
    </row>
    <row r="437" ht="15" customHeight="1">
      <c r="A437" t="inlineStr">
        <is>
          <t>A 1618-2025</t>
        </is>
      </c>
      <c r="B437" s="1" t="n">
        <v>45670</v>
      </c>
      <c r="C437" s="1" t="n">
        <v>45695</v>
      </c>
      <c r="D437" t="inlineStr">
        <is>
          <t>VÄSTRA GÖTALANDS LÄN</t>
        </is>
      </c>
      <c r="E437" t="inlineStr">
        <is>
          <t>SKÖVDE</t>
        </is>
      </c>
      <c r="G437" t="n">
        <v>3.7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45695</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4051-2025</t>
        </is>
      </c>
      <c r="B439" s="1" t="n">
        <v>45684</v>
      </c>
      <c r="C439" s="1" t="n">
        <v>45695</v>
      </c>
      <c r="D439" t="inlineStr">
        <is>
          <t>VÄSTRA GÖTALANDS LÄN</t>
        </is>
      </c>
      <c r="E439" t="inlineStr">
        <is>
          <t>SKÖVDE</t>
        </is>
      </c>
      <c r="G439" t="n">
        <v>1.8</v>
      </c>
      <c r="H439" t="n">
        <v>0</v>
      </c>
      <c r="I439" t="n">
        <v>0</v>
      </c>
      <c r="J439" t="n">
        <v>0</v>
      </c>
      <c r="K439" t="n">
        <v>0</v>
      </c>
      <c r="L439" t="n">
        <v>0</v>
      </c>
      <c r="M439" t="n">
        <v>0</v>
      </c>
      <c r="N439" t="n">
        <v>0</v>
      </c>
      <c r="O439" t="n">
        <v>0</v>
      </c>
      <c r="P439" t="n">
        <v>0</v>
      </c>
      <c r="Q439" t="n">
        <v>0</v>
      </c>
      <c r="R439" s="2" t="inlineStr"/>
    </row>
    <row r="440" ht="15" customHeight="1">
      <c r="A440" t="inlineStr">
        <is>
          <t>A 4322-2025</t>
        </is>
      </c>
      <c r="B440" s="1" t="n">
        <v>45685</v>
      </c>
      <c r="C440" s="1" t="n">
        <v>45695</v>
      </c>
      <c r="D440" t="inlineStr">
        <is>
          <t>VÄSTRA GÖTALANDS LÄN</t>
        </is>
      </c>
      <c r="E440" t="inlineStr">
        <is>
          <t>SKÖVDE</t>
        </is>
      </c>
      <c r="G440" t="n">
        <v>2.1</v>
      </c>
      <c r="H440" t="n">
        <v>0</v>
      </c>
      <c r="I440" t="n">
        <v>0</v>
      </c>
      <c r="J440" t="n">
        <v>0</v>
      </c>
      <c r="K440" t="n">
        <v>0</v>
      </c>
      <c r="L440" t="n">
        <v>0</v>
      </c>
      <c r="M440" t="n">
        <v>0</v>
      </c>
      <c r="N440" t="n">
        <v>0</v>
      </c>
      <c r="O440" t="n">
        <v>0</v>
      </c>
      <c r="P440" t="n">
        <v>0</v>
      </c>
      <c r="Q440" t="n">
        <v>0</v>
      </c>
      <c r="R440" s="2" t="inlineStr"/>
      <c r="U440">
        <f>HYPERLINK("https://klasma.github.io/Logging_1496/knärot/A 4322-2025 karta knärot.png", "A 4322-2025")</f>
        <v/>
      </c>
      <c r="V440">
        <f>HYPERLINK("https://klasma.github.io/Logging_1496/klagomål/A 4322-2025 FSC-klagomål.docx", "A 4322-2025")</f>
        <v/>
      </c>
      <c r="W440">
        <f>HYPERLINK("https://klasma.github.io/Logging_1496/klagomålsmail/A 4322-2025 FSC-klagomål mail.docx", "A 4322-2025")</f>
        <v/>
      </c>
      <c r="X440">
        <f>HYPERLINK("https://klasma.github.io/Logging_1496/tillsyn/A 4322-2025 tillsynsbegäran.docx", "A 4322-2025")</f>
        <v/>
      </c>
      <c r="Y440">
        <f>HYPERLINK("https://klasma.github.io/Logging_1496/tillsynsmail/A 4322-2025 tillsynsbegäran mail.docx", "A 4322-2025")</f>
        <v/>
      </c>
    </row>
    <row r="441" ht="15" customHeight="1">
      <c r="A441" t="inlineStr">
        <is>
          <t>A 4325-2025</t>
        </is>
      </c>
      <c r="B441" s="1" t="n">
        <v>45685</v>
      </c>
      <c r="C441" s="1" t="n">
        <v>45695</v>
      </c>
      <c r="D441" t="inlineStr">
        <is>
          <t>VÄSTRA GÖTALANDS LÄN</t>
        </is>
      </c>
      <c r="E441" t="inlineStr">
        <is>
          <t>SKÖVDE</t>
        </is>
      </c>
      <c r="G441" t="n">
        <v>2.7</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45695</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4600-2025</t>
        </is>
      </c>
      <c r="B443" s="1" t="n">
        <v>45687</v>
      </c>
      <c r="C443" s="1" t="n">
        <v>45695</v>
      </c>
      <c r="D443" t="inlineStr">
        <is>
          <t>VÄSTRA GÖTALANDS LÄN</t>
        </is>
      </c>
      <c r="E443" t="inlineStr">
        <is>
          <t>SKÖVDE</t>
        </is>
      </c>
      <c r="G443" t="n">
        <v>1</v>
      </c>
      <c r="H443" t="n">
        <v>0</v>
      </c>
      <c r="I443" t="n">
        <v>0</v>
      </c>
      <c r="J443" t="n">
        <v>0</v>
      </c>
      <c r="K443" t="n">
        <v>0</v>
      </c>
      <c r="L443" t="n">
        <v>0</v>
      </c>
      <c r="M443" t="n">
        <v>0</v>
      </c>
      <c r="N443" t="n">
        <v>0</v>
      </c>
      <c r="O443" t="n">
        <v>0</v>
      </c>
      <c r="P443" t="n">
        <v>0</v>
      </c>
      <c r="Q443" t="n">
        <v>0</v>
      </c>
      <c r="R443" s="2" t="inlineStr"/>
    </row>
    <row r="444" ht="15" customHeight="1">
      <c r="A444" t="inlineStr">
        <is>
          <t>A 5386-2025</t>
        </is>
      </c>
      <c r="B444" s="1" t="n">
        <v>45692</v>
      </c>
      <c r="C444" s="1" t="n">
        <v>45695</v>
      </c>
      <c r="D444" t="inlineStr">
        <is>
          <t>VÄSTRA GÖTALANDS LÄN</t>
        </is>
      </c>
      <c r="E444" t="inlineStr">
        <is>
          <t>SKÖVDE</t>
        </is>
      </c>
      <c r="G444" t="n">
        <v>0.8</v>
      </c>
      <c r="H444" t="n">
        <v>0</v>
      </c>
      <c r="I444" t="n">
        <v>0</v>
      </c>
      <c r="J444" t="n">
        <v>0</v>
      </c>
      <c r="K444" t="n">
        <v>0</v>
      </c>
      <c r="L444" t="n">
        <v>0</v>
      </c>
      <c r="M444" t="n">
        <v>0</v>
      </c>
      <c r="N444" t="n">
        <v>0</v>
      </c>
      <c r="O444" t="n">
        <v>0</v>
      </c>
      <c r="P444" t="n">
        <v>0</v>
      </c>
      <c r="Q444" t="n">
        <v>0</v>
      </c>
      <c r="R444" s="2" t="inlineStr"/>
    </row>
    <row r="445" ht="15" customHeight="1">
      <c r="A445" t="inlineStr">
        <is>
          <t>A 5464-2025</t>
        </is>
      </c>
      <c r="B445" s="1" t="n">
        <v>45693</v>
      </c>
      <c r="C445" s="1" t="n">
        <v>45695</v>
      </c>
      <c r="D445" t="inlineStr">
        <is>
          <t>VÄSTRA GÖTALANDS LÄN</t>
        </is>
      </c>
      <c r="E445" t="inlineStr">
        <is>
          <t>SKÖVDE</t>
        </is>
      </c>
      <c r="G445" t="n">
        <v>0.7</v>
      </c>
      <c r="H445" t="n">
        <v>0</v>
      </c>
      <c r="I445" t="n">
        <v>0</v>
      </c>
      <c r="J445" t="n">
        <v>0</v>
      </c>
      <c r="K445" t="n">
        <v>0</v>
      </c>
      <c r="L445" t="n">
        <v>0</v>
      </c>
      <c r="M445" t="n">
        <v>0</v>
      </c>
      <c r="N445" t="n">
        <v>0</v>
      </c>
      <c r="O445" t="n">
        <v>0</v>
      </c>
      <c r="P445" t="n">
        <v>0</v>
      </c>
      <c r="Q445" t="n">
        <v>0</v>
      </c>
      <c r="R445" s="2" t="inlineStr"/>
    </row>
    <row r="446" ht="15" customHeight="1">
      <c r="A446" t="inlineStr">
        <is>
          <t>A 5472-2025</t>
        </is>
      </c>
      <c r="B446" s="1" t="n">
        <v>45693</v>
      </c>
      <c r="C446" s="1" t="n">
        <v>45695</v>
      </c>
      <c r="D446" t="inlineStr">
        <is>
          <t>VÄSTRA GÖTALANDS LÄN</t>
        </is>
      </c>
      <c r="E446" t="inlineStr">
        <is>
          <t>SKÖVDE</t>
        </is>
      </c>
      <c r="G446" t="n">
        <v>2.1</v>
      </c>
      <c r="H446" t="n">
        <v>0</v>
      </c>
      <c r="I446" t="n">
        <v>0</v>
      </c>
      <c r="J446" t="n">
        <v>0</v>
      </c>
      <c r="K446" t="n">
        <v>0</v>
      </c>
      <c r="L446" t="n">
        <v>0</v>
      </c>
      <c r="M446" t="n">
        <v>0</v>
      </c>
      <c r="N446" t="n">
        <v>0</v>
      </c>
      <c r="O446" t="n">
        <v>0</v>
      </c>
      <c r="P446" t="n">
        <v>0</v>
      </c>
      <c r="Q446" t="n">
        <v>0</v>
      </c>
      <c r="R446" s="2" t="inlineStr"/>
    </row>
    <row r="447" ht="15" customHeight="1">
      <c r="A447" t="inlineStr">
        <is>
          <t>A 5476-2025</t>
        </is>
      </c>
      <c r="B447" s="1" t="n">
        <v>45693</v>
      </c>
      <c r="C447" s="1" t="n">
        <v>45695</v>
      </c>
      <c r="D447" t="inlineStr">
        <is>
          <t>VÄSTRA GÖTALANDS LÄN</t>
        </is>
      </c>
      <c r="E447" t="inlineStr">
        <is>
          <t>SKÖVDE</t>
        </is>
      </c>
      <c r="G447" t="n">
        <v>1.5</v>
      </c>
      <c r="H447" t="n">
        <v>0</v>
      </c>
      <c r="I447" t="n">
        <v>0</v>
      </c>
      <c r="J447" t="n">
        <v>0</v>
      </c>
      <c r="K447" t="n">
        <v>0</v>
      </c>
      <c r="L447" t="n">
        <v>0</v>
      </c>
      <c r="M447" t="n">
        <v>0</v>
      </c>
      <c r="N447" t="n">
        <v>0</v>
      </c>
      <c r="O447" t="n">
        <v>0</v>
      </c>
      <c r="P447" t="n">
        <v>0</v>
      </c>
      <c r="Q447" t="n">
        <v>0</v>
      </c>
      <c r="R447" s="2" t="inlineStr"/>
    </row>
    <row r="448" ht="15" customHeight="1">
      <c r="A448" t="inlineStr">
        <is>
          <t>A 5465-2025</t>
        </is>
      </c>
      <c r="B448" s="1" t="n">
        <v>45693</v>
      </c>
      <c r="C448" s="1" t="n">
        <v>45695</v>
      </c>
      <c r="D448" t="inlineStr">
        <is>
          <t>VÄSTRA GÖTALANDS LÄN</t>
        </is>
      </c>
      <c r="E448" t="inlineStr">
        <is>
          <t>SKÖVDE</t>
        </is>
      </c>
      <c r="G448" t="n">
        <v>1</v>
      </c>
      <c r="H448" t="n">
        <v>0</v>
      </c>
      <c r="I448" t="n">
        <v>0</v>
      </c>
      <c r="J448" t="n">
        <v>0</v>
      </c>
      <c r="K448" t="n">
        <v>0</v>
      </c>
      <c r="L448" t="n">
        <v>0</v>
      </c>
      <c r="M448" t="n">
        <v>0</v>
      </c>
      <c r="N448" t="n">
        <v>0</v>
      </c>
      <c r="O448" t="n">
        <v>0</v>
      </c>
      <c r="P448" t="n">
        <v>0</v>
      </c>
      <c r="Q448" t="n">
        <v>0</v>
      </c>
      <c r="R448" s="2" t="inlineStr"/>
    </row>
    <row r="449" ht="15" customHeight="1">
      <c r="A449" t="inlineStr">
        <is>
          <t>A 5469-2025</t>
        </is>
      </c>
      <c r="B449" s="1" t="n">
        <v>45693</v>
      </c>
      <c r="C449" s="1" t="n">
        <v>45695</v>
      </c>
      <c r="D449" t="inlineStr">
        <is>
          <t>VÄSTRA GÖTALANDS LÄN</t>
        </is>
      </c>
      <c r="E449" t="inlineStr">
        <is>
          <t>SKÖVDE</t>
        </is>
      </c>
      <c r="G449" t="n">
        <v>0.8</v>
      </c>
      <c r="H449" t="n">
        <v>0</v>
      </c>
      <c r="I449" t="n">
        <v>0</v>
      </c>
      <c r="J449" t="n">
        <v>0</v>
      </c>
      <c r="K449" t="n">
        <v>0</v>
      </c>
      <c r="L449" t="n">
        <v>0</v>
      </c>
      <c r="M449" t="n">
        <v>0</v>
      </c>
      <c r="N449" t="n">
        <v>0</v>
      </c>
      <c r="O449" t="n">
        <v>0</v>
      </c>
      <c r="P449" t="n">
        <v>0</v>
      </c>
      <c r="Q449" t="n">
        <v>0</v>
      </c>
      <c r="R449" s="2" t="inlineStr"/>
    </row>
    <row r="450" ht="15" customHeight="1">
      <c r="A450" t="inlineStr">
        <is>
          <t>A 5473-2025</t>
        </is>
      </c>
      <c r="B450" s="1" t="n">
        <v>45693</v>
      </c>
      <c r="C450" s="1" t="n">
        <v>45695</v>
      </c>
      <c r="D450" t="inlineStr">
        <is>
          <t>VÄSTRA GÖTALANDS LÄN</t>
        </is>
      </c>
      <c r="E450" t="inlineStr">
        <is>
          <t>SKÖVDE</t>
        </is>
      </c>
      <c r="G450" t="n">
        <v>2.9</v>
      </c>
      <c r="H450" t="n">
        <v>0</v>
      </c>
      <c r="I450" t="n">
        <v>0</v>
      </c>
      <c r="J450" t="n">
        <v>0</v>
      </c>
      <c r="K450" t="n">
        <v>0</v>
      </c>
      <c r="L450" t="n">
        <v>0</v>
      </c>
      <c r="M450" t="n">
        <v>0</v>
      </c>
      <c r="N450" t="n">
        <v>0</v>
      </c>
      <c r="O450" t="n">
        <v>0</v>
      </c>
      <c r="P450" t="n">
        <v>0</v>
      </c>
      <c r="Q450" t="n">
        <v>0</v>
      </c>
      <c r="R450" s="2" t="inlineStr"/>
    </row>
    <row r="451" ht="15" customHeight="1">
      <c r="A451" t="inlineStr">
        <is>
          <t>A 5477-2025</t>
        </is>
      </c>
      <c r="B451" s="1" t="n">
        <v>45693</v>
      </c>
      <c r="C451" s="1" t="n">
        <v>45695</v>
      </c>
      <c r="D451" t="inlineStr">
        <is>
          <t>VÄSTRA GÖTALANDS LÄN</t>
        </is>
      </c>
      <c r="E451" t="inlineStr">
        <is>
          <t>SKÖVDE</t>
        </is>
      </c>
      <c r="G451" t="n">
        <v>0.4</v>
      </c>
      <c r="H451" t="n">
        <v>0</v>
      </c>
      <c r="I451" t="n">
        <v>0</v>
      </c>
      <c r="J451" t="n">
        <v>0</v>
      </c>
      <c r="K451" t="n">
        <v>0</v>
      </c>
      <c r="L451" t="n">
        <v>0</v>
      </c>
      <c r="M451" t="n">
        <v>0</v>
      </c>
      <c r="N451" t="n">
        <v>0</v>
      </c>
      <c r="O451" t="n">
        <v>0</v>
      </c>
      <c r="P451" t="n">
        <v>0</v>
      </c>
      <c r="Q451" t="n">
        <v>0</v>
      </c>
      <c r="R451" s="2" t="inlineStr"/>
    </row>
    <row r="452" ht="15" customHeight="1">
      <c r="A452" t="inlineStr">
        <is>
          <t>A 5466-2025</t>
        </is>
      </c>
      <c r="B452" s="1" t="n">
        <v>45693</v>
      </c>
      <c r="C452" s="1" t="n">
        <v>45695</v>
      </c>
      <c r="D452" t="inlineStr">
        <is>
          <t>VÄSTRA GÖTALANDS LÄN</t>
        </is>
      </c>
      <c r="E452" t="inlineStr">
        <is>
          <t>SKÖVDE</t>
        </is>
      </c>
      <c r="G452" t="n">
        <v>0.5</v>
      </c>
      <c r="H452" t="n">
        <v>0</v>
      </c>
      <c r="I452" t="n">
        <v>0</v>
      </c>
      <c r="J452" t="n">
        <v>0</v>
      </c>
      <c r="K452" t="n">
        <v>0</v>
      </c>
      <c r="L452" t="n">
        <v>0</v>
      </c>
      <c r="M452" t="n">
        <v>0</v>
      </c>
      <c r="N452" t="n">
        <v>0</v>
      </c>
      <c r="O452" t="n">
        <v>0</v>
      </c>
      <c r="P452" t="n">
        <v>0</v>
      </c>
      <c r="Q452" t="n">
        <v>0</v>
      </c>
      <c r="R452" s="2" t="inlineStr"/>
    </row>
    <row r="453" ht="15" customHeight="1">
      <c r="A453" t="inlineStr">
        <is>
          <t>A 5470-2025</t>
        </is>
      </c>
      <c r="B453" s="1" t="n">
        <v>45693</v>
      </c>
      <c r="C453" s="1" t="n">
        <v>45695</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5474-2025</t>
        </is>
      </c>
      <c r="B454" s="1" t="n">
        <v>45693</v>
      </c>
      <c r="C454" s="1" t="n">
        <v>45695</v>
      </c>
      <c r="D454" t="inlineStr">
        <is>
          <t>VÄSTRA GÖTALANDS LÄN</t>
        </is>
      </c>
      <c r="E454" t="inlineStr">
        <is>
          <t>SKÖVDE</t>
        </is>
      </c>
      <c r="G454" t="n">
        <v>1.6</v>
      </c>
      <c r="H454" t="n">
        <v>0</v>
      </c>
      <c r="I454" t="n">
        <v>0</v>
      </c>
      <c r="J454" t="n">
        <v>0</v>
      </c>
      <c r="K454" t="n">
        <v>0</v>
      </c>
      <c r="L454" t="n">
        <v>0</v>
      </c>
      <c r="M454" t="n">
        <v>0</v>
      </c>
      <c r="N454" t="n">
        <v>0</v>
      </c>
      <c r="O454" t="n">
        <v>0</v>
      </c>
      <c r="P454" t="n">
        <v>0</v>
      </c>
      <c r="Q454" t="n">
        <v>0</v>
      </c>
      <c r="R454" s="2" t="inlineStr"/>
    </row>
    <row r="455" ht="15" customHeight="1">
      <c r="A455" t="inlineStr">
        <is>
          <t>A 5478-2025</t>
        </is>
      </c>
      <c r="B455" s="1" t="n">
        <v>45693</v>
      </c>
      <c r="C455" s="1" t="n">
        <v>45695</v>
      </c>
      <c r="D455" t="inlineStr">
        <is>
          <t>VÄSTRA GÖTALANDS LÄN</t>
        </is>
      </c>
      <c r="E455" t="inlineStr">
        <is>
          <t>SKÖVDE</t>
        </is>
      </c>
      <c r="G455" t="n">
        <v>4.3</v>
      </c>
      <c r="H455" t="n">
        <v>0</v>
      </c>
      <c r="I455" t="n">
        <v>0</v>
      </c>
      <c r="J455" t="n">
        <v>0</v>
      </c>
      <c r="K455" t="n">
        <v>0</v>
      </c>
      <c r="L455" t="n">
        <v>0</v>
      </c>
      <c r="M455" t="n">
        <v>0</v>
      </c>
      <c r="N455" t="n">
        <v>0</v>
      </c>
      <c r="O455" t="n">
        <v>0</v>
      </c>
      <c r="P455" t="n">
        <v>0</v>
      </c>
      <c r="Q455" t="n">
        <v>0</v>
      </c>
      <c r="R455" s="2" t="inlineStr"/>
    </row>
    <row r="456" ht="15" customHeight="1">
      <c r="A456" t="inlineStr">
        <is>
          <t>A 5467-2025</t>
        </is>
      </c>
      <c r="B456" s="1" t="n">
        <v>45693</v>
      </c>
      <c r="C456" s="1" t="n">
        <v>45695</v>
      </c>
      <c r="D456" t="inlineStr">
        <is>
          <t>VÄSTRA GÖTALANDS LÄN</t>
        </is>
      </c>
      <c r="E456" t="inlineStr">
        <is>
          <t>SKÖVDE</t>
        </is>
      </c>
      <c r="G456" t="n">
        <v>1.1</v>
      </c>
      <c r="H456" t="n">
        <v>0</v>
      </c>
      <c r="I456" t="n">
        <v>0</v>
      </c>
      <c r="J456" t="n">
        <v>0</v>
      </c>
      <c r="K456" t="n">
        <v>0</v>
      </c>
      <c r="L456" t="n">
        <v>0</v>
      </c>
      <c r="M456" t="n">
        <v>0</v>
      </c>
      <c r="N456" t="n">
        <v>0</v>
      </c>
      <c r="O456" t="n">
        <v>0</v>
      </c>
      <c r="P456" t="n">
        <v>0</v>
      </c>
      <c r="Q456" t="n">
        <v>0</v>
      </c>
      <c r="R456" s="2" t="inlineStr"/>
    </row>
    <row r="457" ht="15" customHeight="1">
      <c r="A457" t="inlineStr">
        <is>
          <t>A 5471-2025</t>
        </is>
      </c>
      <c r="B457" s="1" t="n">
        <v>45693</v>
      </c>
      <c r="C457" s="1" t="n">
        <v>45695</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5479-2025</t>
        </is>
      </c>
      <c r="B458" s="1" t="n">
        <v>45693</v>
      </c>
      <c r="C458" s="1" t="n">
        <v>45695</v>
      </c>
      <c r="D458" t="inlineStr">
        <is>
          <t>VÄSTRA GÖTALANDS LÄN</t>
        </is>
      </c>
      <c r="E458" t="inlineStr">
        <is>
          <t>SKÖVDE</t>
        </is>
      </c>
      <c r="G458" t="n">
        <v>2.7</v>
      </c>
      <c r="H458" t="n">
        <v>0</v>
      </c>
      <c r="I458" t="n">
        <v>0</v>
      </c>
      <c r="J458" t="n">
        <v>0</v>
      </c>
      <c r="K458" t="n">
        <v>0</v>
      </c>
      <c r="L458" t="n">
        <v>0</v>
      </c>
      <c r="M458" t="n">
        <v>0</v>
      </c>
      <c r="N458" t="n">
        <v>0</v>
      </c>
      <c r="O458" t="n">
        <v>0</v>
      </c>
      <c r="P458" t="n">
        <v>0</v>
      </c>
      <c r="Q458" t="n">
        <v>0</v>
      </c>
      <c r="R458" s="2" t="inlineStr"/>
    </row>
    <row r="459" ht="15" customHeight="1">
      <c r="A459" t="inlineStr">
        <is>
          <t>A 5714-2025</t>
        </is>
      </c>
      <c r="B459" s="1" t="n">
        <v>45694</v>
      </c>
      <c r="C459" s="1" t="n">
        <v>45695</v>
      </c>
      <c r="D459" t="inlineStr">
        <is>
          <t>VÄSTRA GÖTALANDS LÄN</t>
        </is>
      </c>
      <c r="E459" t="inlineStr">
        <is>
          <t>SKÖVDE</t>
        </is>
      </c>
      <c r="G459" t="n">
        <v>1.1</v>
      </c>
      <c r="H459" t="n">
        <v>0</v>
      </c>
      <c r="I459" t="n">
        <v>0</v>
      </c>
      <c r="J459" t="n">
        <v>0</v>
      </c>
      <c r="K459" t="n">
        <v>0</v>
      </c>
      <c r="L459" t="n">
        <v>0</v>
      </c>
      <c r="M459" t="n">
        <v>0</v>
      </c>
      <c r="N459" t="n">
        <v>0</v>
      </c>
      <c r="O459" t="n">
        <v>0</v>
      </c>
      <c r="P459" t="n">
        <v>0</v>
      </c>
      <c r="Q459" t="n">
        <v>0</v>
      </c>
      <c r="R459" s="2" t="inlineStr"/>
    </row>
    <row r="460">
      <c r="A460" t="inlineStr">
        <is>
          <t>A 5717-2025</t>
        </is>
      </c>
      <c r="B460" s="1" t="n">
        <v>45694</v>
      </c>
      <c r="C460" s="1" t="n">
        <v>45695</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2025-02-07T16:14:40Z</dcterms:created>
  <dcterms:modified xmlns:dcterms="http://purl.org/dc/terms/" xmlns:xsi="http://www.w3.org/2001/XMLSchema-instance" xsi:type="dcterms:W3CDTF">2025-02-07T16:14:40Z</dcterms:modified>
</cp:coreProperties>
</file>