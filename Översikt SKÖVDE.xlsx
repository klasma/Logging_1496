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46248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t="n">
        <v>0</v>
      </c>
      <c r="V2" s="2" t="inlineStr">
        <is>
          <t>Ask
Gränsticka
Knärot
Gransotdyna
Stor vårtrattskivling
Blåmossa
Grönpyrola
Skogsknipprot
Stor revmossa
Thomsons trägnagare
Trådticka
Vedticka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46248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46248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46248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46248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46248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46248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46248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46248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46248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46248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46248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46248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46248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46248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46248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46248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46248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46248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46248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39092-2022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44817</v>
      </c>
      <c r="E22" s="1" t="n">
        <v>46248</v>
      </c>
      <c r="F22" t="inlineStr">
        <is>
          <t>VÄSTRA GÖTALANDS LÄN</t>
        </is>
      </c>
      <c r="G22" t="inlineStr">
        <is>
          <t>SKÖVDE</t>
        </is>
      </c>
      <c r="I22" t="n">
        <v>3.1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Ask
Sårläka
Strutbräken</t>
        </is>
      </c>
      <c r="W22">
        <f>HYPERLINK("https://klasma.github.io/Logging_1496/artfynd/A 39092-2022 artfynd.xlsx", "A 39092-2022")</f>
        <v/>
      </c>
      <c r="X22">
        <f>HYPERLINK("https://klasma.github.io/Logging_1496/kartor/A 39092-2022 karta.png", "A 39092-2022")</f>
        <v/>
      </c>
      <c r="Y22">
        <f>HYPERLINK("https://klasma.github.io/Logging_1496/kartor_geotiff/A 39092-2022 georefererad karta.tif", "A 39092-2022")</f>
        <v/>
      </c>
      <c r="AA22">
        <f>HYPERLINK("https://klasma.github.io/Logging_1496/klagomål/A 39092-2022 FSC-klagomål.docx", "A 39092-2022")</f>
        <v/>
      </c>
      <c r="AB22">
        <f>HYPERLINK("https://klasma.github.io/Logging_1496/klagomålsmail/A 39092-2022 FSC-klagomål mail.docx", "A 39092-2022")</f>
        <v/>
      </c>
      <c r="AC22">
        <f>HYPERLINK("https://klasma.github.io/Logging_1496/tillsyn/A 39092-2022 tillsynsbegäran.docx", "A 39092-2022")</f>
        <v/>
      </c>
      <c r="AD22">
        <f>HYPERLINK("https://klasma.github.io/Logging_1496/tillsynsmail/A 39092-2022 tillsynsbegäran mail.docx", "A 39092-2022")</f>
        <v/>
      </c>
    </row>
    <row r="23" ht="15" customHeight="1">
      <c r="A23" t="inlineStr">
        <is>
          <t>A 29335-2025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46248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0.7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Svinrot
Fläcknycklar
Lopplummer (aggregat)</t>
        </is>
      </c>
      <c r="W23">
        <f>HYPERLINK("https://klasma.github.io/Logging_1496/artfynd/A 29335-2025 artfynd.xlsx", "A 29335-2025")</f>
        <v/>
      </c>
      <c r="X23">
        <f>HYPERLINK("https://klasma.github.io/Logging_1496/kartor/A 29335-2025 karta.png", "A 29335-2025")</f>
        <v/>
      </c>
      <c r="Y23">
        <f>HYPERLINK("https://klasma.github.io/Logging_1496/kartor_geotiff/A 29335-2025 georefererad karta.tif", "A 29335-2025")</f>
        <v/>
      </c>
      <c r="AA23">
        <f>HYPERLINK("https://klasma.github.io/Logging_1496/klagomål/A 29335-2025 FSC-klagomål.docx", "A 29335-2025")</f>
        <v/>
      </c>
      <c r="AB23">
        <f>HYPERLINK("https://klasma.github.io/Logging_1496/klagomålsmail/A 29335-2025 FSC-klagomål mail.docx", "A 29335-2025")</f>
        <v/>
      </c>
      <c r="AC23">
        <f>HYPERLINK("https://klasma.github.io/Logging_1496/tillsyn/A 29335-2025 tillsynsbegäran.docx", "A 29335-2025")</f>
        <v/>
      </c>
      <c r="AD23">
        <f>HYPERLINK("https://klasma.github.io/Logging_1496/tillsynsmail/A 29335-2025 tillsynsbegäran mail.docx", "A 29335-2025")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46248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46248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46248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46248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46248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46248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58467-2024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45635</v>
      </c>
      <c r="E30" s="1" t="n">
        <v>46248</v>
      </c>
      <c r="F30" t="inlineStr">
        <is>
          <t>VÄSTRA GÖTALANDS LÄN</t>
        </is>
      </c>
      <c r="G30" t="inlineStr">
        <is>
          <t>SKÖVDE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Sommarfibbla
Mattlummer</t>
        </is>
      </c>
      <c r="W30">
        <f>HYPERLINK("https://klasma.github.io/Logging_1496/artfynd/A 58467-2024 artfynd.xlsx", "A 58467-2024")</f>
        <v/>
      </c>
      <c r="X30">
        <f>HYPERLINK("https://klasma.github.io/Logging_1496/kartor/A 58467-2024 karta.png", "A 58467-2024")</f>
        <v/>
      </c>
      <c r="Y30">
        <f>HYPERLINK("https://klasma.github.io/Logging_1496/kartor_geotiff/A 58467-2024 georefererad karta.tif", "A 58467-2024")</f>
        <v/>
      </c>
      <c r="AA30">
        <f>HYPERLINK("https://klasma.github.io/Logging_1496/klagomål/A 58467-2024 FSC-klagomål.docx", "A 58467-2024")</f>
        <v/>
      </c>
      <c r="AB30">
        <f>HYPERLINK("https://klasma.github.io/Logging_1496/klagomålsmail/A 58467-2024 FSC-klagomål mail.docx", "A 58467-2024")</f>
        <v/>
      </c>
      <c r="AC30">
        <f>HYPERLINK("https://klasma.github.io/Logging_1496/tillsyn/A 58467-2024 tillsynsbegäran.docx", "A 58467-2024")</f>
        <v/>
      </c>
      <c r="AD30">
        <f>HYPERLINK("https://klasma.github.io/Logging_1496/tillsynsmail/A 58467-2024 tillsynsbegäran mail.docx", "A 58467-2024")</f>
        <v/>
      </c>
    </row>
    <row r="31" ht="15" customHeight="1">
      <c r="A31" t="inlineStr">
        <is>
          <t>A 29222-2022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46248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Lundbräsma
Strutbräken</t>
        </is>
      </c>
      <c r="W31">
        <f>HYPERLINK("https://klasma.github.io/Logging_1496/artfynd/A 29222-2022 artfynd.xlsx", "A 29222-2022")</f>
        <v/>
      </c>
      <c r="X31">
        <f>HYPERLINK("https://klasma.github.io/Logging_1496/kartor/A 29222-2022 karta.png", "A 29222-2022")</f>
        <v/>
      </c>
      <c r="Y31">
        <f>HYPERLINK("https://klasma.github.io/Logging_1496/kartor_geotiff/A 29222-2022 georefererad karta.tif", "A 29222-2022")</f>
        <v/>
      </c>
      <c r="AA31">
        <f>HYPERLINK("https://klasma.github.io/Logging_1496/klagomål/A 29222-2022 FSC-klagomål.docx", "A 29222-2022")</f>
        <v/>
      </c>
      <c r="AB31">
        <f>HYPERLINK("https://klasma.github.io/Logging_1496/klagomålsmail/A 29222-2022 FSC-klagomål mail.docx", "A 29222-2022")</f>
        <v/>
      </c>
      <c r="AC31">
        <f>HYPERLINK("https://klasma.github.io/Logging_1496/tillsyn/A 29222-2022 tillsynsbegäran.docx", "A 29222-2022")</f>
        <v/>
      </c>
      <c r="AD31">
        <f>HYPERLINK("https://klasma.github.io/Logging_1496/tillsynsmail/A 29222-2022 tillsynsbegäran mail.docx", "A 29222-2022")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46248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46248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25093-2025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45800</v>
      </c>
      <c r="E34" s="1" t="n">
        <v>46248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Ask
Skogsalm</t>
        </is>
      </c>
      <c r="W34">
        <f>HYPERLINK("https://klasma.github.io/Logging_1496/artfynd/A 25093-2025 artfynd.xlsx", "A 25093-2025")</f>
        <v/>
      </c>
      <c r="X34">
        <f>HYPERLINK("https://klasma.github.io/Logging_1496/kartor/A 25093-2025 karta.png", "A 25093-2025")</f>
        <v/>
      </c>
      <c r="Y34">
        <f>HYPERLINK("https://klasma.github.io/Logging_1496/kartor_geotiff/A 25093-2025 georefererad karta.tif", "A 25093-2025")</f>
        <v/>
      </c>
      <c r="AA34">
        <f>HYPERLINK("https://klasma.github.io/Logging_1496/klagomål/A 25093-2025 FSC-klagomål.docx", "A 25093-2025")</f>
        <v/>
      </c>
      <c r="AB34">
        <f>HYPERLINK("https://klasma.github.io/Logging_1496/klagomålsmail/A 25093-2025 FSC-klagomål mail.docx", "A 25093-2025")</f>
        <v/>
      </c>
      <c r="AC34">
        <f>HYPERLINK("https://klasma.github.io/Logging_1496/tillsyn/A 25093-2025 tillsynsbegäran.docx", "A 25093-2025")</f>
        <v/>
      </c>
      <c r="AD34">
        <f>HYPERLINK("https://klasma.github.io/Logging_1496/tillsynsmail/A 25093-2025 tillsynsbegäran mail.docx", "A 25093-2025")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46248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46248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46248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46248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55642-2025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45972</v>
      </c>
      <c r="E39" s="1" t="n">
        <v>46248</v>
      </c>
      <c r="F39" t="inlineStr">
        <is>
          <t>VÄSTRA GÖTALANDS LÄN</t>
        </is>
      </c>
      <c r="G39" t="inlineStr">
        <is>
          <t>SKÖVDE</t>
        </is>
      </c>
      <c r="I39" t="n">
        <v>1.6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HYPERLINK("https://klasma.github.io/Logging_1496/artfynd/A 55642-2025 artfynd.xlsx", "A 55642-2025")</f>
        <v/>
      </c>
      <c r="X39">
        <f>HYPERLINK("https://klasma.github.io/Logging_1496/kartor/A 55642-2025 karta.png", "A 55642-2025")</f>
        <v/>
      </c>
      <c r="Y39">
        <f>HYPERLINK("https://klasma.github.io/Logging_1496/kartor_geotiff/A 55642-2025 georefererad karta.tif", "A 55642-2025")</f>
        <v/>
      </c>
      <c r="AA39">
        <f>HYPERLINK("https://klasma.github.io/Logging_1496/klagomål/A 55642-2025 FSC-klagomål.docx", "A 55642-2025")</f>
        <v/>
      </c>
      <c r="AB39">
        <f>HYPERLINK("https://klasma.github.io/Logging_1496/klagomålsmail/A 55642-2025 FSC-klagomål mail.docx", "A 55642-2025")</f>
        <v/>
      </c>
      <c r="AC39">
        <f>HYPERLINK("https://klasma.github.io/Logging_1496/tillsyn/A 55642-2025 tillsynsbegäran.docx", "A 55642-2025")</f>
        <v/>
      </c>
      <c r="AD39">
        <f>HYPERLINK("https://klasma.github.io/Logging_1496/tillsynsmail/A 55642-2025 tillsynsbegäran mail.docx", "A 55642-2025")</f>
        <v/>
      </c>
    </row>
    <row r="40" ht="15" customHeight="1">
      <c r="A40" t="inlineStr">
        <is>
          <t>A 26907-2026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46185</v>
      </c>
      <c r="E40" s="1" t="n">
        <v>46248</v>
      </c>
      <c r="F40" t="inlineStr">
        <is>
          <t>VÄSTRA GÖTALANDS LÄN</t>
        </is>
      </c>
      <c r="G40" t="inlineStr">
        <is>
          <t>SKÖVDE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0</v>
      </c>
      <c r="V40" s="2" t="inlineStr">
        <is>
          <t>Ask
Skogsalm</t>
        </is>
      </c>
      <c r="W40">
        <f>HYPERLINK("https://klasma.github.io/Logging_1496/artfynd/A 26907-2026 artfynd.xlsx", "A 26907-2026")</f>
        <v/>
      </c>
      <c r="X40">
        <f>HYPERLINK("https://klasma.github.io/Logging_1496/kartor/A 26907-2026 karta.png", "A 26907-2026")</f>
        <v/>
      </c>
      <c r="Y40">
        <f>HYPERLINK("https://klasma.github.io/Logging_1496/kartor_geotiff/A 26907-2026 georefererad karta.tif", "A 26907-2026")</f>
        <v/>
      </c>
      <c r="AA40">
        <f>HYPERLINK("https://klasma.github.io/Logging_1496/klagomål/A 26907-2026 FSC-klagomål.docx", "A 26907-2026")</f>
        <v/>
      </c>
      <c r="AB40">
        <f>HYPERLINK("https://klasma.github.io/Logging_1496/klagomålsmail/A 26907-2026 FSC-klagomål mail.docx", "A 26907-2026")</f>
        <v/>
      </c>
      <c r="AC40">
        <f>HYPERLINK("https://klasma.github.io/Logging_1496/tillsyn/A 26907-2026 tillsynsbegäran.docx", "A 26907-2026")</f>
        <v/>
      </c>
      <c r="AD40">
        <f>HYPERLINK("https://klasma.github.io/Logging_1496/tillsynsmail/A 26907-2026 tillsynsbegäran mail.docx", "A 26907-2026")</f>
        <v/>
      </c>
    </row>
    <row r="41" ht="15" customHeight="1">
      <c r="A41" t="inlineStr">
        <is>
          <t>A 24996-2025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46248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1.8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Granbronssopp
Fjällig taggsvamp s.str.</t>
        </is>
      </c>
      <c r="W41">
        <f>HYPERLINK("https://klasma.github.io/Logging_1496/artfynd/A 24996-2025 artfynd.xlsx", "A 24996-2025")</f>
        <v/>
      </c>
      <c r="X41">
        <f>HYPERLINK("https://klasma.github.io/Logging_1496/kartor/A 24996-2025 karta.png", "A 24996-2025")</f>
        <v/>
      </c>
      <c r="Y41">
        <f>HYPERLINK("https://klasma.github.io/Logging_1496/kartor_geotiff/A 24996-2025 georefererad karta.tif", "A 24996-2025")</f>
        <v/>
      </c>
      <c r="AA41">
        <f>HYPERLINK("https://klasma.github.io/Logging_1496/klagomål/A 24996-2025 FSC-klagomål.docx", "A 24996-2025")</f>
        <v/>
      </c>
      <c r="AB41">
        <f>HYPERLINK("https://klasma.github.io/Logging_1496/klagomålsmail/A 24996-2025 FSC-klagomål mail.docx", "A 24996-2025")</f>
        <v/>
      </c>
      <c r="AC41">
        <f>HYPERLINK("https://klasma.github.io/Logging_1496/tillsyn/A 24996-2025 tillsynsbegäran.docx", "A 24996-2025")</f>
        <v/>
      </c>
      <c r="AD41">
        <f>HYPERLINK("https://klasma.github.io/Logging_1496/tillsynsmail/A 24996-2025 tillsynsbegäran mail.docx", "A 24996-2025")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46248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46248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46248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46248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46248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46248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46248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29011-2023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46248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5.4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29011-2023 artfynd.xlsx", "A 29011-2023")</f>
        <v/>
      </c>
      <c r="X49">
        <f>HYPERLINK("https://klasma.github.io/Logging_1496/kartor/A 29011-2023 karta.png", "A 29011-2023")</f>
        <v/>
      </c>
      <c r="Y49">
        <f>HYPERLINK("https://klasma.github.io/Logging_1496/kartor_geotiff/A 29011-2023 georefererad karta.tif", "A 29011-2023")</f>
        <v/>
      </c>
      <c r="AA49">
        <f>HYPERLINK("https://klasma.github.io/Logging_1496/klagomål/A 29011-2023 FSC-klagomål.docx", "A 29011-2023")</f>
        <v/>
      </c>
      <c r="AB49">
        <f>HYPERLINK("https://klasma.github.io/Logging_1496/klagomålsmail/A 29011-2023 FSC-klagomål mail.docx", "A 29011-2023")</f>
        <v/>
      </c>
      <c r="AC49">
        <f>HYPERLINK("https://klasma.github.io/Logging_1496/tillsyn/A 29011-2023 tillsynsbegäran.docx", "A 29011-2023")</f>
        <v/>
      </c>
      <c r="AD49">
        <f>HYPERLINK("https://klasma.github.io/Logging_1496/tillsynsmail/A 29011-2023 tillsynsbegäran mail.docx", "A 29011-2023")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46248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42904-2023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46248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HYPERLINK("https://klasma.github.io/Logging_1496/artfynd/A 42904-2023 artfynd.xlsx", "A 42904-2023")</f>
        <v/>
      </c>
      <c r="X51">
        <f>HYPERLINK("https://klasma.github.io/Logging_1496/kartor/A 42904-2023 karta.png", "A 42904-2023")</f>
        <v/>
      </c>
      <c r="Y51">
        <f>HYPERLINK("https://klasma.github.io/Logging_1496/kartor_geotiff/A 42904-2023 georefererad karta.tif", "A 42904-2023")</f>
        <v/>
      </c>
      <c r="AA51">
        <f>HYPERLINK("https://klasma.github.io/Logging_1496/klagomål/A 42904-2023 FSC-klagomål.docx", "A 42904-2023")</f>
        <v/>
      </c>
      <c r="AB51">
        <f>HYPERLINK("https://klasma.github.io/Logging_1496/klagomålsmail/A 42904-2023 FSC-klagomål mail.docx", "A 42904-2023")</f>
        <v/>
      </c>
      <c r="AC51">
        <f>HYPERLINK("https://klasma.github.io/Logging_1496/tillsyn/A 42904-2023 tillsynsbegäran.docx", "A 42904-2023")</f>
        <v/>
      </c>
      <c r="AD51">
        <f>HYPERLINK("https://klasma.github.io/Logging_1496/tillsynsmail/A 42904-2023 tillsynsbegäran mail.docx", "A 42904-2023")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46248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26712-2025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45810</v>
      </c>
      <c r="E53" s="1" t="n">
        <v>46248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26712-2025 artfynd.xlsx", "A 26712-2025")</f>
        <v/>
      </c>
      <c r="X53">
        <f>HYPERLINK("https://klasma.github.io/Logging_1496/kartor/A 26712-2025 karta.png", "A 26712-2025")</f>
        <v/>
      </c>
      <c r="Y53">
        <f>HYPERLINK("https://klasma.github.io/Logging_1496/kartor_geotiff/A 26712-2025 georefererad karta.tif", "A 26712-2025")</f>
        <v/>
      </c>
      <c r="AA53">
        <f>HYPERLINK("https://klasma.github.io/Logging_1496/klagomål/A 26712-2025 FSC-klagomål.docx", "A 26712-2025")</f>
        <v/>
      </c>
      <c r="AB53">
        <f>HYPERLINK("https://klasma.github.io/Logging_1496/klagomålsmail/A 26712-2025 FSC-klagomål mail.docx", "A 26712-2025")</f>
        <v/>
      </c>
      <c r="AC53">
        <f>HYPERLINK("https://klasma.github.io/Logging_1496/tillsyn/A 26712-2025 tillsynsbegäran.docx", "A 26712-2025")</f>
        <v/>
      </c>
      <c r="AD53">
        <f>HYPERLINK("https://klasma.github.io/Logging_1496/tillsynsmail/A 26712-2025 tillsynsbegäran mail.docx", "A 26712-2025")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46248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46248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17452-2023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45036</v>
      </c>
      <c r="E56" s="1" t="n">
        <v>46248</v>
      </c>
      <c r="F56" t="inlineStr">
        <is>
          <t>VÄSTRA GÖTALANDS LÄN</t>
        </is>
      </c>
      <c r="G56" t="inlineStr">
        <is>
          <t>SKÖVDE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HYPERLINK("https://klasma.github.io/Logging_1496/artfynd/A 17452-2023 artfynd.xlsx", "A 17452-2023")</f>
        <v/>
      </c>
      <c r="X56">
        <f>HYPERLINK("https://klasma.github.io/Logging_1496/kartor/A 17452-2023 karta.png", "A 17452-2023")</f>
        <v/>
      </c>
      <c r="Y56">
        <f>HYPERLINK("https://klasma.github.io/Logging_1496/kartor_geotiff/A 17452-2023 georefererad karta.tif", "A 17452-2023")</f>
        <v/>
      </c>
      <c r="AA56">
        <f>HYPERLINK("https://klasma.github.io/Logging_1496/klagomål/A 17452-2023 FSC-klagomål.docx", "A 17452-2023")</f>
        <v/>
      </c>
      <c r="AB56">
        <f>HYPERLINK("https://klasma.github.io/Logging_1496/klagomålsmail/A 17452-2023 FSC-klagomål mail.docx", "A 17452-2023")</f>
        <v/>
      </c>
      <c r="AC56">
        <f>HYPERLINK("https://klasma.github.io/Logging_1496/tillsyn/A 17452-2023 tillsynsbegäran.docx", "A 17452-2023")</f>
        <v/>
      </c>
      <c r="AD56">
        <f>HYPERLINK("https://klasma.github.io/Logging_1496/tillsynsmail/A 17452-2023 tillsynsbegäran mail.docx", "A 17452-2023")</f>
        <v/>
      </c>
    </row>
    <row r="57" ht="15" customHeight="1">
      <c r="A57" t="inlineStr">
        <is>
          <t>A 3948-2024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46248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3948-2024 artfynd.xlsx", "A 3948-2024")</f>
        <v/>
      </c>
      <c r="X57">
        <f>HYPERLINK("https://klasma.github.io/Logging_1496/kartor/A 3948-2024 karta.png", "A 3948-2024")</f>
        <v/>
      </c>
      <c r="Y57">
        <f>HYPERLINK("https://klasma.github.io/Logging_1496/kartor_geotiff/A 3948-2024 georefererad karta.tif", "A 3948-2024")</f>
        <v/>
      </c>
      <c r="AA57">
        <f>HYPERLINK("https://klasma.github.io/Logging_1496/klagomål/A 3948-2024 FSC-klagomål.docx", "A 3948-2024")</f>
        <v/>
      </c>
      <c r="AB57">
        <f>HYPERLINK("https://klasma.github.io/Logging_1496/klagomålsmail/A 3948-2024 FSC-klagomål mail.docx", "A 3948-2024")</f>
        <v/>
      </c>
      <c r="AC57">
        <f>HYPERLINK("https://klasma.github.io/Logging_1496/tillsyn/A 3948-2024 tillsynsbegäran.docx", "A 3948-2024")</f>
        <v/>
      </c>
      <c r="AD57">
        <f>HYPERLINK("https://klasma.github.io/Logging_1496/tillsynsmail/A 3948-2024 tillsynsbegäran mail.docx", "A 3948-2024")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46248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28717-2026 artfynd.xlsx", "A 28717-2026")</f>
        <v/>
      </c>
      <c r="X58">
        <f>HYPERLINK("https://klasma.github.io/Logging_1496/kartor/A 28717-2026 karta.png", "A 28717-2026")</f>
        <v/>
      </c>
      <c r="Y58">
        <f>HYPERLINK("https://klasma.github.io/Logging_1496/kartor_geotiff/A 28717-2026 georefererad karta.tif", "A 28717-2026")</f>
        <v/>
      </c>
      <c r="AA58">
        <f>HYPERLINK("https://klasma.github.io/Logging_1496/klagomål/A 28717-2026 FSC-klagomål.docx", "A 28717-2026")</f>
        <v/>
      </c>
      <c r="AB58">
        <f>HYPERLINK("https://klasma.github.io/Logging_1496/klagomålsmail/A 28717-2026 FSC-klagomål mail.docx", "A 28717-2026")</f>
        <v/>
      </c>
      <c r="AC58">
        <f>HYPERLINK("https://klasma.github.io/Logging_1496/tillsyn/A 28717-2026 tillsynsbegäran.docx", "A 28717-2026")</f>
        <v/>
      </c>
      <c r="AD58">
        <f>HYPERLINK("https://klasma.github.io/Logging_1496/tillsynsmail/A 28717-2026 tillsynsbegäran mail.docx", "A 28717-2026")</f>
        <v/>
      </c>
    </row>
    <row r="59" ht="15" customHeight="1">
      <c r="A59" t="inlineStr">
        <is>
          <t>A 47869-2025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45932</v>
      </c>
      <c r="E59" s="1" t="n">
        <v>46248</v>
      </c>
      <c r="F59" t="inlineStr">
        <is>
          <t>VÄSTRA GÖTALANDS LÄN</t>
        </is>
      </c>
      <c r="G59" t="inlineStr">
        <is>
          <t>SKÖVDE</t>
        </is>
      </c>
      <c r="I59" t="n">
        <v>1.6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Backmåra</t>
        </is>
      </c>
      <c r="W59">
        <f>HYPERLINK("https://klasma.github.io/Logging_1496/artfynd/A 47869-2025 artfynd.xlsx", "A 47869-2025")</f>
        <v/>
      </c>
      <c r="X59">
        <f>HYPERLINK("https://klasma.github.io/Logging_1496/kartor/A 47869-2025 karta.png", "A 47869-2025")</f>
        <v/>
      </c>
      <c r="Y59">
        <f>HYPERLINK("https://klasma.github.io/Logging_1496/kartor_geotiff/A 47869-2025 georefererad karta.tif", "A 47869-2025")</f>
        <v/>
      </c>
      <c r="AA59">
        <f>HYPERLINK("https://klasma.github.io/Logging_1496/klagomål/A 47869-2025 FSC-klagomål.docx", "A 47869-2025")</f>
        <v/>
      </c>
      <c r="AB59">
        <f>HYPERLINK("https://klasma.github.io/Logging_1496/klagomålsmail/A 47869-2025 FSC-klagomål mail.docx", "A 47869-2025")</f>
        <v/>
      </c>
      <c r="AC59">
        <f>HYPERLINK("https://klasma.github.io/Logging_1496/tillsyn/A 47869-2025 tillsynsbegäran.docx", "A 47869-2025")</f>
        <v/>
      </c>
      <c r="AD59">
        <f>HYPERLINK("https://klasma.github.io/Logging_1496/tillsynsmail/A 47869-2025 tillsynsbegäran mail.docx", "A 47869-2025")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46248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26800-2026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46248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HYPERLINK("https://klasma.github.io/Logging_1496/artfynd/A 26800-2026 artfynd.xlsx", "A 26800-2026")</f>
        <v/>
      </c>
      <c r="X61">
        <f>HYPERLINK("https://klasma.github.io/Logging_1496/kartor/A 26800-2026 karta.png", "A 26800-2026")</f>
        <v/>
      </c>
      <c r="Y61">
        <f>HYPERLINK("https://klasma.github.io/Logging_1496/kartor_geotiff/A 26800-2026 georefererad karta.tif", "A 26800-2026")</f>
        <v/>
      </c>
      <c r="AA61">
        <f>HYPERLINK("https://klasma.github.io/Logging_1496/klagomål/A 26800-2026 FSC-klagomål.docx", "A 26800-2026")</f>
        <v/>
      </c>
      <c r="AB61">
        <f>HYPERLINK("https://klasma.github.io/Logging_1496/klagomålsmail/A 26800-2026 FSC-klagomål mail.docx", "A 26800-2026")</f>
        <v/>
      </c>
      <c r="AC61">
        <f>HYPERLINK("https://klasma.github.io/Logging_1496/tillsyn/A 26800-2026 tillsynsbegäran.docx", "A 26800-2026")</f>
        <v/>
      </c>
      <c r="AD61">
        <f>HYPERLINK("https://klasma.github.io/Logging_1496/tillsynsmail/A 26800-2026 tillsynsbegäran mail.docx", "A 26800-2026")</f>
        <v/>
      </c>
    </row>
    <row r="62" ht="15" customHeight="1">
      <c r="A62" t="inlineStr">
        <is>
          <t>A 4464-2026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46248</v>
      </c>
      <c r="F62" t="inlineStr">
        <is>
          <t>VÄSTRA GÖTALANDS LÄN</t>
        </is>
      </c>
      <c r="G62" t="inlineStr">
        <is>
          <t>SKÖVDE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Myskmadra</t>
        </is>
      </c>
      <c r="W62">
        <f>HYPERLINK("https://klasma.github.io/Logging_1496/artfynd/A 4464-2026 artfynd.xlsx", "A 4464-2026")</f>
        <v/>
      </c>
      <c r="X62">
        <f>HYPERLINK("https://klasma.github.io/Logging_1496/kartor/A 4464-2026 karta.png", "A 4464-2026")</f>
        <v/>
      </c>
      <c r="Y62">
        <f>HYPERLINK("https://klasma.github.io/Logging_1496/kartor_geotiff/A 4464-2026 georefererad karta.tif", "A 4464-2026")</f>
        <v/>
      </c>
      <c r="AA62">
        <f>HYPERLINK("https://klasma.github.io/Logging_1496/klagomål/A 4464-2026 FSC-klagomål.docx", "A 4464-2026")</f>
        <v/>
      </c>
      <c r="AB62">
        <f>HYPERLINK("https://klasma.github.io/Logging_1496/klagomålsmail/A 4464-2026 FSC-klagomål mail.docx", "A 4464-2026")</f>
        <v/>
      </c>
      <c r="AC62">
        <f>HYPERLINK("https://klasma.github.io/Logging_1496/tillsyn/A 4464-2026 tillsynsbegäran.docx", "A 4464-2026")</f>
        <v/>
      </c>
      <c r="AD62">
        <f>HYPERLINK("https://klasma.github.io/Logging_1496/tillsynsmail/A 4464-2026 tillsynsbegäran mail.docx", "A 4464-2026")</f>
        <v/>
      </c>
    </row>
    <row r="63" ht="15" customHeight="1">
      <c r="A63" t="inlineStr">
        <is>
          <t>A 6093-2026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46052</v>
      </c>
      <c r="E63" s="1" t="n">
        <v>46248</v>
      </c>
      <c r="F63" t="inlineStr">
        <is>
          <t>VÄSTRA GÖTALANDS LÄN</t>
        </is>
      </c>
      <c r="G63" t="inlineStr">
        <is>
          <t>SKÖVDE</t>
        </is>
      </c>
      <c r="I63" t="n">
        <v>5.8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HYPERLINK("https://klasma.github.io/Logging_1496/artfynd/A 6093-2026 artfynd.xlsx", "A 6093-2026")</f>
        <v/>
      </c>
      <c r="X63">
        <f>HYPERLINK("https://klasma.github.io/Logging_1496/kartor/A 6093-2026 karta.png", "A 6093-2026")</f>
        <v/>
      </c>
      <c r="Y63">
        <f>HYPERLINK("https://klasma.github.io/Logging_1496/kartor_geotiff/A 6093-2026 georefererad karta.tif", "A 6093-2026")</f>
        <v/>
      </c>
      <c r="AA63">
        <f>HYPERLINK("https://klasma.github.io/Logging_1496/klagomål/A 6093-2026 FSC-klagomål.docx", "A 6093-2026")</f>
        <v/>
      </c>
      <c r="AB63">
        <f>HYPERLINK("https://klasma.github.io/Logging_1496/klagomålsmail/A 6093-2026 FSC-klagomål mail.docx", "A 6093-2026")</f>
        <v/>
      </c>
      <c r="AC63">
        <f>HYPERLINK("https://klasma.github.io/Logging_1496/tillsyn/A 6093-2026 tillsynsbegäran.docx", "A 6093-2026")</f>
        <v/>
      </c>
      <c r="AD63">
        <f>HYPERLINK("https://klasma.github.io/Logging_1496/tillsynsmail/A 6093-2026 tillsynsbegäran mail.docx", "A 6093-2026")</f>
        <v/>
      </c>
    </row>
    <row r="64" ht="15" customHeight="1">
      <c r="A64" t="inlineStr">
        <is>
          <t>S 809-2023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44986</v>
      </c>
      <c r="E64" s="1" t="n">
        <v>46248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Kyrkan</t>
        </is>
      </c>
      <c r="I64" t="n">
        <v>40.9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Motaggsvamp</t>
        </is>
      </c>
      <c r="W64">
        <f>HYPERLINK("https://klasma.github.io/Logging_1496/artfynd/S 809-2023 artfynd.xlsx", "S 809-2023")</f>
        <v/>
      </c>
      <c r="X64">
        <f>HYPERLINK("https://klasma.github.io/Logging_1496/kartor/S 809-2023 karta.png", "S 809-2023")</f>
        <v/>
      </c>
      <c r="Y64">
        <f>HYPERLINK("https://klasma.github.io/Logging_1496/kartor_geotiff/S 809-2023 georefererad karta.tif", "S 809-2023")</f>
        <v/>
      </c>
      <c r="AA64">
        <f>HYPERLINK("https://klasma.github.io/Logging_1496/klagomål/S 809-2023 FSC-klagomål.docx", "S 809-2023")</f>
        <v/>
      </c>
      <c r="AB64">
        <f>HYPERLINK("https://klasma.github.io/Logging_1496/klagomålsmail/S 809-2023 FSC-klagomål mail.docx", "S 809-2023")</f>
        <v/>
      </c>
      <c r="AC64">
        <f>HYPERLINK("https://klasma.github.io/Logging_1496/tillsyn/S 809-2023 tillsynsbegäran.docx", "S 809-2023")</f>
        <v/>
      </c>
      <c r="AD64">
        <f>HYPERLINK("https://klasma.github.io/Logging_1496/tillsynsmail/S 809-2023 tillsynsbegäran mail.docx", "S 809-2023")</f>
        <v/>
      </c>
    </row>
    <row r="65" ht="15" customHeight="1">
      <c r="A65" t="inlineStr">
        <is>
          <t>A 46086-2021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46248</v>
      </c>
      <c r="F65" t="inlineStr">
        <is>
          <t>VÄSTRA GÖTALANDS LÄN</t>
        </is>
      </c>
      <c r="G65" t="inlineStr">
        <is>
          <t>SKÖVDE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46248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46248</v>
      </c>
      <c r="F67" t="inlineStr">
        <is>
          <t>VÄSTRA GÖTALANDS LÄN</t>
        </is>
      </c>
      <c r="G67" t="inlineStr">
        <is>
          <t>SKÖVDE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46248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Naturvårdsverket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46248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65804-2021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46248</v>
      </c>
      <c r="F70" t="inlineStr">
        <is>
          <t>VÄSTRA GÖTALANDS LÄN</t>
        </is>
      </c>
      <c r="G70" t="inlineStr">
        <is>
          <t>SKÖVDE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46248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46248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46248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46248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44567</v>
      </c>
      <c r="E75" s="1" t="n">
        <v>46248</v>
      </c>
      <c r="F75" t="inlineStr">
        <is>
          <t>VÄSTRA GÖTALANDS LÄN</t>
        </is>
      </c>
      <c r="G75" t="inlineStr">
        <is>
          <t>SKÖVDE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46248</v>
      </c>
      <c r="F76" t="inlineStr">
        <is>
          <t>VÄSTRA GÖTALANDS LÄN</t>
        </is>
      </c>
      <c r="G76" t="inlineStr">
        <is>
          <t>SKÖVDE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46248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46248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46248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46248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44847</v>
      </c>
      <c r="E81" s="1" t="n">
        <v>46248</v>
      </c>
      <c r="F81" t="inlineStr">
        <is>
          <t>VÄSTRA GÖTALANDS LÄN</t>
        </is>
      </c>
      <c r="G81" t="inlineStr">
        <is>
          <t>SKÖVDE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44635</v>
      </c>
      <c r="E82" s="1" t="n">
        <v>46248</v>
      </c>
      <c r="F82" t="inlineStr">
        <is>
          <t>VÄSTRA GÖTALANDS LÄN</t>
        </is>
      </c>
      <c r="G82" t="inlineStr">
        <is>
          <t>SKÖVDE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46248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44823</v>
      </c>
      <c r="E84" s="1" t="n">
        <v>46248</v>
      </c>
      <c r="F84" t="inlineStr">
        <is>
          <t>VÄSTRA GÖTALANDS LÄN</t>
        </is>
      </c>
      <c r="G84" t="inlineStr">
        <is>
          <t>SKÖVDE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46248</v>
      </c>
      <c r="F85" t="inlineStr">
        <is>
          <t>VÄSTRA GÖTALANDS LÄN</t>
        </is>
      </c>
      <c r="G85" t="inlineStr">
        <is>
          <t>SKÖVDE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44481</v>
      </c>
      <c r="E86" s="1" t="n">
        <v>46248</v>
      </c>
      <c r="F86" t="inlineStr">
        <is>
          <t>VÄSTRA GÖTALANDS LÄN</t>
        </is>
      </c>
      <c r="G86" t="inlineStr">
        <is>
          <t>SKÖVDE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46248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46248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46248</v>
      </c>
      <c r="F89" t="inlineStr">
        <is>
          <t>VÄSTRA GÖTALANDS LÄN</t>
        </is>
      </c>
      <c r="G89" t="inlineStr">
        <is>
          <t>SKÖVDE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46248</v>
      </c>
      <c r="F90" t="inlineStr">
        <is>
          <t>VÄSTRA GÖTALANDS LÄN</t>
        </is>
      </c>
      <c r="G90" t="inlineStr">
        <is>
          <t>SKÖVDE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46248</v>
      </c>
      <c r="F91" t="inlineStr">
        <is>
          <t>VÄSTRA GÖTALANDS LÄN</t>
        </is>
      </c>
      <c r="G91" t="inlineStr">
        <is>
          <t>SKÖVDE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46248</v>
      </c>
      <c r="F92" t="inlineStr">
        <is>
          <t>VÄSTRA GÖTALANDS LÄN</t>
        </is>
      </c>
      <c r="G92" t="inlineStr">
        <is>
          <t>SKÖVDE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45322</v>
      </c>
      <c r="E93" s="1" t="n">
        <v>46248</v>
      </c>
      <c r="F93" t="inlineStr">
        <is>
          <t>VÄSTRA GÖTALANDS LÄN</t>
        </is>
      </c>
      <c r="G93" t="inlineStr">
        <is>
          <t>SKÖVDE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44599</v>
      </c>
      <c r="E94" s="1" t="n">
        <v>46248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46248</v>
      </c>
      <c r="F95" t="inlineStr">
        <is>
          <t>VÄSTRA GÖTALANDS LÄN</t>
        </is>
      </c>
      <c r="G95" t="inlineStr">
        <is>
          <t>SKÖVDE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29217-2022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46248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Kommuner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46248</v>
      </c>
      <c r="F97" t="inlineStr">
        <is>
          <t>VÄSTRA GÖTALANDS LÄN</t>
        </is>
      </c>
      <c r="G97" t="inlineStr">
        <is>
          <t>SKÖVDE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46248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45105</v>
      </c>
      <c r="E99" s="1" t="n">
        <v>46248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46248</v>
      </c>
      <c r="F100" t="inlineStr">
        <is>
          <t>VÄSTRA GÖTALANDS LÄN</t>
        </is>
      </c>
      <c r="G100" t="inlineStr">
        <is>
          <t>SKÖVDE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46248</v>
      </c>
      <c r="F101" t="inlineStr">
        <is>
          <t>VÄSTRA GÖTALANDS LÄN</t>
        </is>
      </c>
      <c r="G101" t="inlineStr">
        <is>
          <t>SKÖVDE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46248</v>
      </c>
      <c r="F102" t="inlineStr">
        <is>
          <t>VÄSTRA GÖTALANDS LÄN</t>
        </is>
      </c>
      <c r="G102" t="inlineStr">
        <is>
          <t>SKÖVDE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45749</v>
      </c>
      <c r="E103" s="1" t="n">
        <v>46248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46248</v>
      </c>
      <c r="F104" t="inlineStr">
        <is>
          <t>VÄSTRA GÖTALANDS LÄN</t>
        </is>
      </c>
      <c r="G104" t="inlineStr">
        <is>
          <t>SKÖVDE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46248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Kommuner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45314</v>
      </c>
      <c r="E106" s="1" t="n">
        <v>46248</v>
      </c>
      <c r="F106" t="inlineStr">
        <is>
          <t>VÄSTRA GÖTALANDS LÄN</t>
        </is>
      </c>
      <c r="G106" t="inlineStr">
        <is>
          <t>SKÖVDE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46248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35280-2024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45530</v>
      </c>
      <c r="E108" s="1" t="n">
        <v>46248</v>
      </c>
      <c r="F108" t="inlineStr">
        <is>
          <t>VÄSTRA GÖTALANDS LÄN</t>
        </is>
      </c>
      <c r="G108" t="inlineStr">
        <is>
          <t>SKÖVDE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45259</v>
      </c>
      <c r="E109" s="1" t="n">
        <v>46248</v>
      </c>
      <c r="F109" t="inlineStr">
        <is>
          <t>VÄSTRA GÖTALANDS LÄN</t>
        </is>
      </c>
      <c r="G109" t="inlineStr">
        <is>
          <t>SKÖVDE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45230</v>
      </c>
      <c r="E110" s="1" t="n">
        <v>46248</v>
      </c>
      <c r="F110" t="inlineStr">
        <is>
          <t>VÄSTRA GÖTALANDS LÄN</t>
        </is>
      </c>
      <c r="G110" t="inlineStr">
        <is>
          <t>SKÖVDE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46248</v>
      </c>
      <c r="F111" t="inlineStr">
        <is>
          <t>VÄSTRA GÖTALANDS LÄN</t>
        </is>
      </c>
      <c r="G111" t="inlineStr">
        <is>
          <t>SKÖVDE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46248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46248</v>
      </c>
      <c r="F113" t="inlineStr">
        <is>
          <t>VÄSTRA GÖTALANDS LÄN</t>
        </is>
      </c>
      <c r="G113" t="inlineStr">
        <is>
          <t>SKÖVDE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44938</v>
      </c>
      <c r="E114" s="1" t="n">
        <v>46248</v>
      </c>
      <c r="F114" t="inlineStr">
        <is>
          <t>VÄSTRA GÖTALANDS LÄN</t>
        </is>
      </c>
      <c r="G114" t="inlineStr">
        <is>
          <t>SKÖVDE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45138</v>
      </c>
      <c r="E115" s="1" t="n">
        <v>46248</v>
      </c>
      <c r="F115" t="inlineStr">
        <is>
          <t>VÄSTRA GÖTALANDS LÄN</t>
        </is>
      </c>
      <c r="G115" t="inlineStr">
        <is>
          <t>SKÖVDE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46248</v>
      </c>
      <c r="F116" t="inlineStr">
        <is>
          <t>VÄSTRA GÖTALANDS LÄN</t>
        </is>
      </c>
      <c r="G116" t="inlineStr">
        <is>
          <t>SKÖVDE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46248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46248</v>
      </c>
      <c r="F118" t="inlineStr">
        <is>
          <t>VÄSTRA GÖTALANDS LÄN</t>
        </is>
      </c>
      <c r="G118" t="inlineStr">
        <is>
          <t>SKÖVDE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46248</v>
      </c>
      <c r="F119" t="inlineStr">
        <is>
          <t>VÄSTRA GÖTALANDS LÄN</t>
        </is>
      </c>
      <c r="G119" t="inlineStr">
        <is>
          <t>SKÖVDE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60117-2021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44495</v>
      </c>
      <c r="E120" s="1" t="n">
        <v>46248</v>
      </c>
      <c r="F120" t="inlineStr">
        <is>
          <t>VÄSTRA GÖTALANDS LÄN</t>
        </is>
      </c>
      <c r="G120" t="inlineStr">
        <is>
          <t>SKÖVDE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46248</v>
      </c>
      <c r="F121" t="inlineStr">
        <is>
          <t>VÄSTRA GÖTALANDS LÄN</t>
        </is>
      </c>
      <c r="G121" t="inlineStr">
        <is>
          <t>SKÖVDE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46248</v>
      </c>
      <c r="F122" t="inlineStr">
        <is>
          <t>VÄSTRA GÖTALANDS LÄN</t>
        </is>
      </c>
      <c r="G122" t="inlineStr">
        <is>
          <t>SKÖVDE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46248</v>
      </c>
      <c r="F123" t="inlineStr">
        <is>
          <t>VÄSTRA GÖTALANDS LÄN</t>
        </is>
      </c>
      <c r="G123" t="inlineStr">
        <is>
          <t>SKÖVDE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46248</v>
      </c>
      <c r="F124" t="inlineStr">
        <is>
          <t>VÄSTRA GÖTALANDS LÄN</t>
        </is>
      </c>
      <c r="G124" t="inlineStr">
        <is>
          <t>SKÖVDE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46248</v>
      </c>
      <c r="F125" t="inlineStr">
        <is>
          <t>VÄSTRA GÖTALANDS LÄN</t>
        </is>
      </c>
      <c r="G125" t="inlineStr">
        <is>
          <t>SKÖVDE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46248</v>
      </c>
      <c r="F126" t="inlineStr">
        <is>
          <t>VÄSTRA GÖTALANDS LÄN</t>
        </is>
      </c>
      <c r="G126" t="inlineStr">
        <is>
          <t>SKÖVDE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46248</v>
      </c>
      <c r="F127" t="inlineStr">
        <is>
          <t>VÄSTRA GÖTALANDS LÄN</t>
        </is>
      </c>
      <c r="G127" t="inlineStr">
        <is>
          <t>SKÖVDE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46248</v>
      </c>
      <c r="F128" t="inlineStr">
        <is>
          <t>VÄSTRA GÖTALANDS LÄN</t>
        </is>
      </c>
      <c r="G128" t="inlineStr">
        <is>
          <t>SKÖVDE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45693</v>
      </c>
      <c r="E129" s="1" t="n">
        <v>46248</v>
      </c>
      <c r="F129" t="inlineStr">
        <is>
          <t>VÄSTRA GÖTALANDS LÄN</t>
        </is>
      </c>
      <c r="G129" t="inlineStr">
        <is>
          <t>SKÖVDE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46248</v>
      </c>
      <c r="F130" t="inlineStr">
        <is>
          <t>VÄSTRA GÖTALANDS LÄN</t>
        </is>
      </c>
      <c r="G130" t="inlineStr">
        <is>
          <t>SKÖVDE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46248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46248</v>
      </c>
      <c r="F132" t="inlineStr">
        <is>
          <t>VÄSTRA GÖTALANDS LÄN</t>
        </is>
      </c>
      <c r="G132" t="inlineStr">
        <is>
          <t>SKÖVDE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46248</v>
      </c>
      <c r="F133" t="inlineStr">
        <is>
          <t>VÄSTRA GÖTALANDS LÄN</t>
        </is>
      </c>
      <c r="G133" t="inlineStr">
        <is>
          <t>SKÖVDE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46248</v>
      </c>
      <c r="F134" t="inlineStr">
        <is>
          <t>VÄSTRA GÖTALANDS LÄN</t>
        </is>
      </c>
      <c r="G134" t="inlineStr">
        <is>
          <t>SKÖVDE</t>
        </is>
      </c>
      <c r="I134" t="n">
        <v>11.7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46248</v>
      </c>
      <c r="F135" t="inlineStr">
        <is>
          <t>VÄSTRA GÖTALANDS LÄN</t>
        </is>
      </c>
      <c r="G135" t="inlineStr">
        <is>
          <t>SKÖVDE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46248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48225-2024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46248</v>
      </c>
      <c r="F137" t="inlineStr">
        <is>
          <t>VÄSTRA GÖTALANDS LÄN</t>
        </is>
      </c>
      <c r="G137" t="inlineStr">
        <is>
          <t>SKÖVDE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46248</v>
      </c>
      <c r="F138" t="inlineStr">
        <is>
          <t>VÄSTRA GÖTALANDS LÄN</t>
        </is>
      </c>
      <c r="G138" t="inlineStr">
        <is>
          <t>SKÖVDE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46248</v>
      </c>
      <c r="F139" t="inlineStr">
        <is>
          <t>VÄSTRA GÖTALANDS LÄN</t>
        </is>
      </c>
      <c r="G139" t="inlineStr">
        <is>
          <t>SKÖVDE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46248</v>
      </c>
      <c r="F140" t="inlineStr">
        <is>
          <t>VÄSTRA GÖTALANDS LÄN</t>
        </is>
      </c>
      <c r="G140" t="inlineStr">
        <is>
          <t>SKÖVDE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46248</v>
      </c>
      <c r="F141" t="inlineStr">
        <is>
          <t>VÄSTRA GÖTALANDS LÄN</t>
        </is>
      </c>
      <c r="G141" t="inlineStr">
        <is>
          <t>SKÖVDE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59053-2024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46248</v>
      </c>
      <c r="F142" t="inlineStr">
        <is>
          <t>VÄSTRA GÖTALANDS LÄN</t>
        </is>
      </c>
      <c r="G142" t="inlineStr">
        <is>
          <t>SKÖVDE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46248</v>
      </c>
      <c r="F143" t="inlineStr">
        <is>
          <t>VÄSTRA GÖTALANDS LÄN</t>
        </is>
      </c>
      <c r="G143" t="inlineStr">
        <is>
          <t>SKÖVDE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45687</v>
      </c>
      <c r="E144" s="1" t="n">
        <v>46248</v>
      </c>
      <c r="F144" t="inlineStr">
        <is>
          <t>VÄSTRA GÖTALANDS LÄN</t>
        </is>
      </c>
      <c r="G144" t="inlineStr">
        <is>
          <t>SKÖVDE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46248</v>
      </c>
      <c r="F145" t="inlineStr">
        <is>
          <t>VÄSTRA GÖTALANDS LÄN</t>
        </is>
      </c>
      <c r="G145" t="inlineStr">
        <is>
          <t>SKÖVDE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45138</v>
      </c>
      <c r="E146" s="1" t="n">
        <v>46248</v>
      </c>
      <c r="F146" t="inlineStr">
        <is>
          <t>VÄSTRA GÖTALANDS LÄN</t>
        </is>
      </c>
      <c r="G146" t="inlineStr">
        <is>
          <t>SKÖVDE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44959</v>
      </c>
      <c r="E147" s="1" t="n">
        <v>46248</v>
      </c>
      <c r="F147" t="inlineStr">
        <is>
          <t>VÄSTRA GÖTALANDS LÄN</t>
        </is>
      </c>
      <c r="G147" t="inlineStr">
        <is>
          <t>SKÖVDE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46248</v>
      </c>
      <c r="F148" t="inlineStr">
        <is>
          <t>VÄSTRA GÖTALANDS LÄN</t>
        </is>
      </c>
      <c r="G148" t="inlineStr">
        <is>
          <t>SKÖVDE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45134</v>
      </c>
      <c r="E149" s="1" t="n">
        <v>46248</v>
      </c>
      <c r="F149" t="inlineStr">
        <is>
          <t>VÄSTRA GÖTALANDS LÄN</t>
        </is>
      </c>
      <c r="G149" t="inlineStr">
        <is>
          <t>SKÖVDE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46248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46248</v>
      </c>
      <c r="F151" t="inlineStr">
        <is>
          <t>VÄSTRA GÖTALANDS LÄN</t>
        </is>
      </c>
      <c r="G151" t="inlineStr">
        <is>
          <t>SKÖVDE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44862</v>
      </c>
      <c r="E152" s="1" t="n">
        <v>46248</v>
      </c>
      <c r="F152" t="inlineStr">
        <is>
          <t>VÄSTRA GÖTALANDS LÄN</t>
        </is>
      </c>
      <c r="G152" t="inlineStr">
        <is>
          <t>SKÖVDE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46248</v>
      </c>
      <c r="F153" t="inlineStr">
        <is>
          <t>VÄSTRA GÖTALANDS LÄN</t>
        </is>
      </c>
      <c r="G153" t="inlineStr">
        <is>
          <t>SKÖVDE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46248</v>
      </c>
      <c r="F154" t="inlineStr">
        <is>
          <t>VÄSTRA GÖTALANDS LÄN</t>
        </is>
      </c>
      <c r="G154" t="inlineStr">
        <is>
          <t>SKÖVDE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17798-2024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45418</v>
      </c>
      <c r="E155" s="1" t="n">
        <v>46248</v>
      </c>
      <c r="F155" t="inlineStr">
        <is>
          <t>VÄSTRA GÖTALANDS LÄN</t>
        </is>
      </c>
      <c r="G155" t="inlineStr">
        <is>
          <t>SKÖVDE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13669-2023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45006</v>
      </c>
      <c r="E156" s="1" t="n">
        <v>46248</v>
      </c>
      <c r="F156" t="inlineStr">
        <is>
          <t>VÄSTRA GÖTALANDS LÄN</t>
        </is>
      </c>
      <c r="G156" t="inlineStr">
        <is>
          <t>SKÖVDE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45259</v>
      </c>
      <c r="E157" s="1" t="n">
        <v>46248</v>
      </c>
      <c r="F157" t="inlineStr">
        <is>
          <t>VÄSTRA GÖTALANDS LÄN</t>
        </is>
      </c>
      <c r="G157" t="inlineStr">
        <is>
          <t>SKÖVDE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46248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45301</v>
      </c>
      <c r="E159" s="1" t="n">
        <v>46248</v>
      </c>
      <c r="F159" t="inlineStr">
        <is>
          <t>VÄSTRA GÖTALANDS LÄN</t>
        </is>
      </c>
      <c r="G159" t="inlineStr">
        <is>
          <t>SKÖVDE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44425</v>
      </c>
      <c r="E160" s="1" t="n">
        <v>46248</v>
      </c>
      <c r="F160" t="inlineStr">
        <is>
          <t>VÄSTRA GÖTALANDS LÄN</t>
        </is>
      </c>
      <c r="G160" t="inlineStr">
        <is>
          <t>SKÖVDE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46248</v>
      </c>
      <c r="F161" t="inlineStr">
        <is>
          <t>VÄSTRA GÖTALANDS LÄN</t>
        </is>
      </c>
      <c r="G161" t="inlineStr">
        <is>
          <t>SKÖVDE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46248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46248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45803</v>
      </c>
      <c r="E164" s="1" t="n">
        <v>46248</v>
      </c>
      <c r="F164" t="inlineStr">
        <is>
          <t>VÄSTRA GÖTALANDS LÄN</t>
        </is>
      </c>
      <c r="G164" t="inlineStr">
        <is>
          <t>SKÖVDE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44811</v>
      </c>
      <c r="E165" s="1" t="n">
        <v>46248</v>
      </c>
      <c r="F165" t="inlineStr">
        <is>
          <t>VÄSTRA GÖTALANDS LÄN</t>
        </is>
      </c>
      <c r="G165" t="inlineStr">
        <is>
          <t>SKÖVDE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46248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25639-2025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45800</v>
      </c>
      <c r="E167" s="1" t="n">
        <v>46248</v>
      </c>
      <c r="F167" t="inlineStr">
        <is>
          <t>VÄSTRA GÖTALANDS LÄN</t>
        </is>
      </c>
      <c r="G167" t="inlineStr">
        <is>
          <t>SKÖVDE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46248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46248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46248</v>
      </c>
      <c r="F170" t="inlineStr">
        <is>
          <t>VÄSTRA GÖTALANDS LÄN</t>
        </is>
      </c>
      <c r="G170" t="inlineStr">
        <is>
          <t>SKÖVDE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46248</v>
      </c>
      <c r="F171" t="inlineStr">
        <is>
          <t>VÄSTRA GÖTALANDS LÄN</t>
        </is>
      </c>
      <c r="G171" t="inlineStr">
        <is>
          <t>SKÖVDE</t>
        </is>
      </c>
      <c r="I171" t="n">
        <v>12.3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46248</v>
      </c>
      <c r="F172" t="inlineStr">
        <is>
          <t>VÄSTRA GÖTALANDS LÄN</t>
        </is>
      </c>
      <c r="G172" t="inlineStr">
        <is>
          <t>SKÖVDE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46248</v>
      </c>
      <c r="F173" t="inlineStr">
        <is>
          <t>VÄSTRA GÖTALANDS LÄN</t>
        </is>
      </c>
      <c r="G173" t="inlineStr">
        <is>
          <t>SKÖVDE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45756</v>
      </c>
      <c r="E174" s="1" t="n">
        <v>46248</v>
      </c>
      <c r="F174" t="inlineStr">
        <is>
          <t>VÄSTRA GÖTALANDS LÄN</t>
        </is>
      </c>
      <c r="G174" t="inlineStr">
        <is>
          <t>SKÖVDE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46248</v>
      </c>
      <c r="F175" t="inlineStr">
        <is>
          <t>VÄSTRA GÖTALANDS LÄN</t>
        </is>
      </c>
      <c r="G175" t="inlineStr">
        <is>
          <t>SKÖVDE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46248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Kyrkan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45821</v>
      </c>
      <c r="E177" s="1" t="n">
        <v>46248</v>
      </c>
      <c r="F177" t="inlineStr">
        <is>
          <t>VÄSTRA GÖTALANDS LÄN</t>
        </is>
      </c>
      <c r="G177" t="inlineStr">
        <is>
          <t>SKÖVDE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46248</v>
      </c>
      <c r="F178" t="inlineStr">
        <is>
          <t>VÄSTRA GÖTALANDS LÄN</t>
        </is>
      </c>
      <c r="G178" t="inlineStr">
        <is>
          <t>SKÖVDE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45853</v>
      </c>
      <c r="E179" s="1" t="n">
        <v>46248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46248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46248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46248</v>
      </c>
      <c r="F182" t="inlineStr">
        <is>
          <t>VÄSTRA GÖTALANDS LÄN</t>
        </is>
      </c>
      <c r="G182" t="inlineStr">
        <is>
          <t>SKÖVDE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46248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Kommuner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46248</v>
      </c>
      <c r="F184" t="inlineStr">
        <is>
          <t>VÄSTRA GÖTALANDS LÄN</t>
        </is>
      </c>
      <c r="G184" t="inlineStr">
        <is>
          <t>SKÖVDE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46248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Kyrkan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46248</v>
      </c>
      <c r="F186" t="inlineStr">
        <is>
          <t>VÄSTRA GÖTALANDS LÄN</t>
        </is>
      </c>
      <c r="G186" t="inlineStr">
        <is>
          <t>SKÖVDE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46248</v>
      </c>
      <c r="F187" t="inlineStr">
        <is>
          <t>VÄSTRA GÖTALANDS LÄN</t>
        </is>
      </c>
      <c r="G187" t="inlineStr">
        <is>
          <t>SKÖVDE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46248</v>
      </c>
      <c r="F188" t="inlineStr">
        <is>
          <t>VÄSTRA GÖTALANDS LÄN</t>
        </is>
      </c>
      <c r="G188" t="inlineStr">
        <is>
          <t>SKÖVDE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46248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46248</v>
      </c>
      <c r="F190" t="inlineStr">
        <is>
          <t>VÄSTRA GÖTALANDS LÄN</t>
        </is>
      </c>
      <c r="G190" t="inlineStr">
        <is>
          <t>SKÖVDE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46248</v>
      </c>
      <c r="F191" t="inlineStr">
        <is>
          <t>VÄSTRA GÖTALANDS LÄN</t>
        </is>
      </c>
      <c r="G191" t="inlineStr">
        <is>
          <t>SKÖVDE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46248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46248</v>
      </c>
      <c r="F193" t="inlineStr">
        <is>
          <t>VÄSTRA GÖTALANDS LÄN</t>
        </is>
      </c>
      <c r="G193" t="inlineStr">
        <is>
          <t>SKÖVDE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46248</v>
      </c>
      <c r="F194" t="inlineStr">
        <is>
          <t>VÄSTRA GÖTALANDS LÄN</t>
        </is>
      </c>
      <c r="G194" t="inlineStr">
        <is>
          <t>SKÖVDE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46248</v>
      </c>
      <c r="F195" t="inlineStr">
        <is>
          <t>VÄSTRA GÖTALANDS LÄN</t>
        </is>
      </c>
      <c r="G195" t="inlineStr">
        <is>
          <t>SKÖVDE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46248</v>
      </c>
      <c r="F196" t="inlineStr">
        <is>
          <t>VÄSTRA GÖTALANDS LÄN</t>
        </is>
      </c>
      <c r="G196" t="inlineStr">
        <is>
          <t>SKÖVDE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46248</v>
      </c>
      <c r="F197" t="inlineStr">
        <is>
          <t>VÄSTRA GÖTALANDS LÄN</t>
        </is>
      </c>
      <c r="G197" t="inlineStr">
        <is>
          <t>SKÖVDE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46248</v>
      </c>
      <c r="F198" t="inlineStr">
        <is>
          <t>VÄSTRA GÖTALANDS LÄN</t>
        </is>
      </c>
      <c r="G198" t="inlineStr">
        <is>
          <t>SKÖVDE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46248</v>
      </c>
      <c r="F199" t="inlineStr">
        <is>
          <t>VÄSTRA GÖTALANDS LÄN</t>
        </is>
      </c>
      <c r="G199" t="inlineStr">
        <is>
          <t>SKÖVDE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46248</v>
      </c>
      <c r="F200" t="inlineStr">
        <is>
          <t>VÄSTRA GÖTALANDS LÄN</t>
        </is>
      </c>
      <c r="G200" t="inlineStr">
        <is>
          <t>SKÖVDE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46248</v>
      </c>
      <c r="F201" t="inlineStr">
        <is>
          <t>VÄSTRA GÖTALANDS LÄN</t>
        </is>
      </c>
      <c r="G201" t="inlineStr">
        <is>
          <t>SKÖVDE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46248</v>
      </c>
      <c r="F202" t="inlineStr">
        <is>
          <t>VÄSTRA GÖTALANDS LÄN</t>
        </is>
      </c>
      <c r="G202" t="inlineStr">
        <is>
          <t>SKÖVDE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46248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46248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46248</v>
      </c>
      <c r="F205" t="inlineStr">
        <is>
          <t>VÄSTRA GÖTALANDS LÄN</t>
        </is>
      </c>
      <c r="G205" t="inlineStr">
        <is>
          <t>SKÖVDE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46248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46248</v>
      </c>
      <c r="F207" t="inlineStr">
        <is>
          <t>VÄSTRA GÖTALANDS LÄN</t>
        </is>
      </c>
      <c r="G207" t="inlineStr">
        <is>
          <t>SKÖVDE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46248</v>
      </c>
      <c r="F208" t="inlineStr">
        <is>
          <t>VÄSTRA GÖTALANDS LÄN</t>
        </is>
      </c>
      <c r="G208" t="inlineStr">
        <is>
          <t>SKÖVDE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46139</v>
      </c>
      <c r="E209" s="1" t="n">
        <v>46248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46248</v>
      </c>
      <c r="F210" t="inlineStr">
        <is>
          <t>VÄSTRA GÖTALANDS LÄN</t>
        </is>
      </c>
      <c r="G210" t="inlineStr">
        <is>
          <t>SKÖVDE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45710</v>
      </c>
      <c r="E211" s="1" t="n">
        <v>46248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46248</v>
      </c>
      <c r="F212" t="inlineStr">
        <is>
          <t>VÄSTRA GÖTALANDS LÄN</t>
        </is>
      </c>
      <c r="G212" t="inlineStr">
        <is>
          <t>SKÖVDE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46248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45334</v>
      </c>
      <c r="E214" s="1" t="n">
        <v>46248</v>
      </c>
      <c r="F214" t="inlineStr">
        <is>
          <t>VÄSTRA GÖTALANDS LÄN</t>
        </is>
      </c>
      <c r="G214" t="inlineStr">
        <is>
          <t>SKÖVDE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46248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45734</v>
      </c>
      <c r="E216" s="1" t="n">
        <v>46248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46038</v>
      </c>
      <c r="E217" s="1" t="n">
        <v>46248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46248</v>
      </c>
      <c r="F218" t="inlineStr">
        <is>
          <t>VÄSTRA GÖTALANDS LÄN</t>
        </is>
      </c>
      <c r="G218" t="inlineStr">
        <is>
          <t>SKÖVDE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46248</v>
      </c>
      <c r="F219" t="inlineStr">
        <is>
          <t>VÄSTRA GÖTALANDS LÄN</t>
        </is>
      </c>
      <c r="G219" t="inlineStr">
        <is>
          <t>SKÖVDE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46248</v>
      </c>
      <c r="F220" t="inlineStr">
        <is>
          <t>VÄSTRA GÖTALANDS LÄN</t>
        </is>
      </c>
      <c r="G220" t="inlineStr">
        <is>
          <t>SKÖVDE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46248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46248</v>
      </c>
      <c r="F222" t="inlineStr">
        <is>
          <t>VÄSTRA GÖTALANDS LÄN</t>
        </is>
      </c>
      <c r="G222" t="inlineStr">
        <is>
          <t>SKÖVDE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46248</v>
      </c>
      <c r="F223" t="inlineStr">
        <is>
          <t>VÄSTRA GÖTALANDS LÄN</t>
        </is>
      </c>
      <c r="G223" t="inlineStr">
        <is>
          <t>SKÖVDE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45947</v>
      </c>
      <c r="E224" s="1" t="n">
        <v>46248</v>
      </c>
      <c r="F224" t="inlineStr">
        <is>
          <t>VÄSTRA GÖTALANDS LÄN</t>
        </is>
      </c>
      <c r="G224" t="inlineStr">
        <is>
          <t>SKÖVDE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46248</v>
      </c>
      <c r="F225" t="inlineStr">
        <is>
          <t>VÄSTRA GÖTALANDS LÄN</t>
        </is>
      </c>
      <c r="G225" t="inlineStr">
        <is>
          <t>SKÖVDE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46248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24914-2026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46248</v>
      </c>
      <c r="F227" t="inlineStr">
        <is>
          <t>VÄSTRA GÖTALANDS LÄN</t>
        </is>
      </c>
      <c r="G227" t="inlineStr">
        <is>
          <t>SKÖVDE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45958</v>
      </c>
      <c r="E228" s="1" t="n">
        <v>46248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46182</v>
      </c>
      <c r="E229" s="1" t="n">
        <v>46248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46248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26914-2026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46185</v>
      </c>
      <c r="E231" s="1" t="n">
        <v>46248</v>
      </c>
      <c r="F231" t="inlineStr">
        <is>
          <t>VÄSTRA GÖTALANDS LÄN</t>
        </is>
      </c>
      <c r="G231" t="inlineStr">
        <is>
          <t>SKÖVDE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46248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Kommuner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46248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46248</v>
      </c>
      <c r="F234" t="inlineStr">
        <is>
          <t>VÄSTRA GÖTALANDS LÄN</t>
        </is>
      </c>
      <c r="G234" t="inlineStr">
        <is>
          <t>SKÖVDE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46248</v>
      </c>
      <c r="F235" t="inlineStr">
        <is>
          <t>VÄSTRA GÖTALANDS LÄN</t>
        </is>
      </c>
      <c r="G235" t="inlineStr">
        <is>
          <t>SKÖVDE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46248</v>
      </c>
      <c r="F236" t="inlineStr">
        <is>
          <t>VÄSTRA GÖTALANDS LÄN</t>
        </is>
      </c>
      <c r="G236" t="inlineStr">
        <is>
          <t>SKÖVDE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46248</v>
      </c>
      <c r="F237" t="inlineStr">
        <is>
          <t>VÄSTRA GÖTALANDS LÄN</t>
        </is>
      </c>
      <c r="G237" t="inlineStr">
        <is>
          <t>SKÖVDE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46248</v>
      </c>
      <c r="F238" t="inlineStr">
        <is>
          <t>VÄSTRA GÖTALANDS LÄN</t>
        </is>
      </c>
      <c r="G238" t="inlineStr">
        <is>
          <t>SKÖVDE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46248</v>
      </c>
      <c r="F239" t="inlineStr">
        <is>
          <t>VÄSTRA GÖTALANDS LÄN</t>
        </is>
      </c>
      <c r="G239" t="inlineStr">
        <is>
          <t>SKÖVDE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46008</v>
      </c>
      <c r="E240" s="1" t="n">
        <v>46248</v>
      </c>
      <c r="F240" t="inlineStr">
        <is>
          <t>VÄSTRA GÖTALANDS LÄN</t>
        </is>
      </c>
      <c r="G240" t="inlineStr">
        <is>
          <t>SKÖVDE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62811-2025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46008</v>
      </c>
      <c r="E241" s="1" t="n">
        <v>46248</v>
      </c>
      <c r="F241" t="inlineStr">
        <is>
          <t>VÄSTRA GÖTALANDS LÄN</t>
        </is>
      </c>
      <c r="G241" t="inlineStr">
        <is>
          <t>SKÖVDE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46248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46017</v>
      </c>
      <c r="E243" s="1" t="n">
        <v>46248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46248</v>
      </c>
      <c r="F244" t="inlineStr">
        <is>
          <t>VÄSTRA GÖTALANDS LÄN</t>
        </is>
      </c>
      <c r="G244" t="inlineStr">
        <is>
          <t>SKÖVDE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46248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6092-2026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46052</v>
      </c>
      <c r="E246" s="1" t="n">
        <v>46248</v>
      </c>
      <c r="F246" t="inlineStr">
        <is>
          <t>VÄSTRA GÖTALANDS LÄN</t>
        </is>
      </c>
      <c r="G246" t="inlineStr">
        <is>
          <t>SKÖVDE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46248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63730-2025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46248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Övriga statliga verk och myndigheter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46248</v>
      </c>
      <c r="F249" t="inlineStr">
        <is>
          <t>VÄSTRA GÖTALANDS LÄN</t>
        </is>
      </c>
      <c r="G249" t="inlineStr">
        <is>
          <t>SKÖVDE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63729-2025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46248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Övriga statliga verk och myndigheter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46248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Övriga statliga verk och myndigheter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46248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Övriga statliga verk och myndigheter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46248</v>
      </c>
      <c r="F253" t="inlineStr">
        <is>
          <t>VÄSTRA GÖTALANDS LÄN</t>
        </is>
      </c>
      <c r="G253" t="inlineStr">
        <is>
          <t>SKÖVDE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46248</v>
      </c>
      <c r="F254" t="inlineStr">
        <is>
          <t>VÄSTRA GÖTALANDS LÄN</t>
        </is>
      </c>
      <c r="G254" t="inlineStr">
        <is>
          <t>SKÖVDE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46248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46248</v>
      </c>
      <c r="F256" t="inlineStr">
        <is>
          <t>VÄSTRA GÖTALANDS LÄN</t>
        </is>
      </c>
      <c r="G256" t="inlineStr">
        <is>
          <t>SKÖVDE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46248</v>
      </c>
      <c r="F257" t="inlineStr">
        <is>
          <t>VÄSTRA GÖTALANDS LÄN</t>
        </is>
      </c>
      <c r="G257" t="inlineStr">
        <is>
          <t>SKÖVDE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46248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45847</v>
      </c>
      <c r="E259" s="1" t="n">
        <v>46248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45693</v>
      </c>
      <c r="E260" s="1" t="n">
        <v>46248</v>
      </c>
      <c r="F260" t="inlineStr">
        <is>
          <t>VÄSTRA GÖTALANDS LÄN</t>
        </is>
      </c>
      <c r="G260" t="inlineStr">
        <is>
          <t>SKÖVDE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46248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46248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2026-08-14T01:52:54Z</dcterms:created>
  <dcterms:modified xmlns:dcterms="http://purl.org/dc/terms/" xmlns:xsi="http://www.w3.org/2001/XMLSchema-instance" xsi:type="dcterms:W3CDTF">2026-08-14T01:52:55Z</dcterms:modified>
</cp:coreProperties>
</file>