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11192-2026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46080</v>
      </c>
      <c r="E8" s="1" t="n">
        <v>46310</v>
      </c>
      <c r="F8" t="inlineStr">
        <is>
          <t>VÄSTRA GÖTALANDS LÄN</t>
        </is>
      </c>
      <c r="G8" t="inlineStr">
        <is>
          <t>SKÖVDE</t>
        </is>
      </c>
      <c r="I8" t="n">
        <v>2.2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Blåsippa
Liljekonvalj
Ormbär
Skogsbingel
Gullviva</t>
        </is>
      </c>
      <c r="W8">
        <f>HYPERLINK("https://klasma.github.io/Logging_1496/artfynd/A 11192-2026 artfynd.xlsx", "A 11192-2026")</f>
        <v/>
      </c>
      <c r="X8">
        <f>HYPERLINK("https://klasma.github.io/Logging_1496/kartor/A 11192-2026 karta.png", "A 11192-2026")</f>
        <v/>
      </c>
      <c r="Y8">
        <f>HYPERLINK("https://klasma.github.io/Logging_1496/kartor_geotiff/A 11192-2026 georefererad karta.tif", "A 11192-2026")</f>
        <v/>
      </c>
      <c r="AA8">
        <f>HYPERLINK("https://klasma.github.io/Logging_1496/klagomål/A 11192-2026 FSC-klagomål.docx", "A 11192-2026")</f>
        <v/>
      </c>
      <c r="AB8">
        <f>HYPERLINK("https://klasma.github.io/Logging_1496/klagomålsmail/A 11192-2026 FSC-klagomål mail.docx", "A 11192-2026")</f>
        <v/>
      </c>
      <c r="AC8">
        <f>HYPERLINK("https://klasma.github.io/Logging_1496/tillsyn/A 11192-2026 tillsynsbegäran.docx", "A 11192-2026")</f>
        <v/>
      </c>
      <c r="AD8">
        <f>HYPERLINK("https://klasma.github.io/Logging_1496/tillsynsmail/A 11192-2026 tillsynsbegäran mail.docx", "A 11192-2026")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46310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46310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46310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46310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46310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46310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46310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46310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31621-2024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45506</v>
      </c>
      <c r="E18" s="1" t="n">
        <v>46310</v>
      </c>
      <c r="F18" t="inlineStr">
        <is>
          <t>VÄSTRA GÖTALANDS LÄN</t>
        </is>
      </c>
      <c r="G18" t="inlineStr">
        <is>
          <t>SKÖVDE</t>
        </is>
      </c>
      <c r="I18" t="n">
        <v>1.3</v>
      </c>
      <c r="J18" t="n">
        <v>0</v>
      </c>
      <c r="K18" t="n">
        <v>0</v>
      </c>
      <c r="L18" t="n">
        <v>1</v>
      </c>
      <c r="M18" t="n">
        <v>1</v>
      </c>
      <c r="N18" t="n">
        <v>1</v>
      </c>
      <c r="O18" t="n">
        <v>0</v>
      </c>
      <c r="P18" t="n">
        <v>0</v>
      </c>
      <c r="Q18" t="n">
        <v>3</v>
      </c>
      <c r="R18" t="n">
        <v>2</v>
      </c>
      <c r="S18" t="n">
        <v>3</v>
      </c>
      <c r="T18" t="n">
        <v>3</v>
      </c>
      <c r="U18" t="n">
        <v>0</v>
      </c>
      <c r="V18" s="2" t="inlineStr">
        <is>
          <t>Ask
Plattsäv
Majviva</t>
        </is>
      </c>
      <c r="W18">
        <f>HYPERLINK("https://klasma.github.io/Logging_1496/artfynd/A 31621-2024 artfynd.xlsx", "A 31621-2024")</f>
        <v/>
      </c>
      <c r="X18">
        <f>HYPERLINK("https://klasma.github.io/Logging_1496/kartor/A 31621-2024 karta.png", "A 31621-2024")</f>
        <v/>
      </c>
      <c r="Y18">
        <f>HYPERLINK("https://klasma.github.io/Logging_1496/kartor_geotiff/A 31621-2024 georefererad karta.tif", "A 31621-2024")</f>
        <v/>
      </c>
      <c r="AA18">
        <f>HYPERLINK("https://klasma.github.io/Logging_1496/klagomål/A 31621-2024 FSC-klagomål.docx", "A 31621-2024")</f>
        <v/>
      </c>
      <c r="AB18">
        <f>HYPERLINK("https://klasma.github.io/Logging_1496/klagomålsmail/A 31621-2024 FSC-klagomål mail.docx", "A 31621-2024")</f>
        <v/>
      </c>
      <c r="AC18">
        <f>HYPERLINK("https://klasma.github.io/Logging_1496/tillsyn/A 31621-2024 tillsynsbegäran.docx", "A 31621-2024")</f>
        <v/>
      </c>
      <c r="AD18">
        <f>HYPERLINK("https://klasma.github.io/Logging_1496/tillsynsmail/A 31621-2024 tillsynsbegäran mail.docx", "A 31621-2024")</f>
        <v/>
      </c>
    </row>
    <row r="19" ht="15" customHeight="1">
      <c r="A19" t="inlineStr">
        <is>
          <t>A 29335-2025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46310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0.7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Svinrot
Fläcknycklar
Lopplummer (aggregat)</t>
        </is>
      </c>
      <c r="W19">
        <f>HYPERLINK("https://klasma.github.io/Logging_1496/artfynd/A 29335-2025 artfynd.xlsx", "A 29335-2025")</f>
        <v/>
      </c>
      <c r="X19">
        <f>HYPERLINK("https://klasma.github.io/Logging_1496/kartor/A 29335-2025 karta.png", "A 29335-2025")</f>
        <v/>
      </c>
      <c r="Y19">
        <f>HYPERLINK("https://klasma.github.io/Logging_1496/kartor_geotiff/A 29335-2025 georefererad karta.tif", "A 29335-2025")</f>
        <v/>
      </c>
      <c r="AA19">
        <f>HYPERLINK("https://klasma.github.io/Logging_1496/klagomål/A 29335-2025 FSC-klagomål.docx", "A 29335-2025")</f>
        <v/>
      </c>
      <c r="AB19">
        <f>HYPERLINK("https://klasma.github.io/Logging_1496/klagomålsmail/A 29335-2025 FSC-klagomål mail.docx", "A 29335-2025")</f>
        <v/>
      </c>
      <c r="AC19">
        <f>HYPERLINK("https://klasma.github.io/Logging_1496/tillsyn/A 29335-2025 tillsynsbegäran.docx", "A 29335-2025")</f>
        <v/>
      </c>
      <c r="AD19">
        <f>HYPERLINK("https://klasma.github.io/Logging_1496/tillsynsmail/A 29335-2025 tillsynsbegäran mail.docx", "A 29335-2025")</f>
        <v/>
      </c>
    </row>
    <row r="20" ht="15" customHeight="1">
      <c r="A20" t="inlineStr">
        <is>
          <t>A 2579-2023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46310</v>
      </c>
      <c r="F20" t="inlineStr">
        <is>
          <t>VÄSTRA GÖTALANDS LÄN</t>
        </is>
      </c>
      <c r="G20" t="inlineStr">
        <is>
          <t>SKÖVDE</t>
        </is>
      </c>
      <c r="I20" t="n">
        <v>5.3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Skogsknipprot
Svart trolldruva
Fläcknycklar</t>
        </is>
      </c>
      <c r="W20">
        <f>HYPERLINK("https://klasma.github.io/Logging_1496/artfynd/A 2579-2023 artfynd.xlsx", "A 2579-2023")</f>
        <v/>
      </c>
      <c r="X20">
        <f>HYPERLINK("https://klasma.github.io/Logging_1496/kartor/A 2579-2023 karta.png", "A 2579-2023")</f>
        <v/>
      </c>
      <c r="Y20">
        <f>HYPERLINK("https://klasma.github.io/Logging_1496/kartor_geotiff/A 2579-2023 georefererad karta.tif", "A 2579-2023")</f>
        <v/>
      </c>
      <c r="AA20">
        <f>HYPERLINK("https://klasma.github.io/Logging_1496/klagomål/A 2579-2023 FSC-klagomål.docx", "A 2579-2023")</f>
        <v/>
      </c>
      <c r="AB20">
        <f>HYPERLINK("https://klasma.github.io/Logging_1496/klagomålsmail/A 2579-2023 FSC-klagomål mail.docx", "A 2579-2023")</f>
        <v/>
      </c>
      <c r="AC20">
        <f>HYPERLINK("https://klasma.github.io/Logging_1496/tillsyn/A 2579-2023 tillsynsbegäran.docx", "A 2579-2023")</f>
        <v/>
      </c>
      <c r="AD20">
        <f>HYPERLINK("https://klasma.github.io/Logging_1496/tillsynsmail/A 2579-2023 tillsynsbegäran mail.docx", "A 2579-2023")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46310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46310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100-2023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46310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1.4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Borsttåg
Ängsstarr
Purpurknipprot</t>
        </is>
      </c>
      <c r="W23">
        <f>HYPERLINK("https://klasma.github.io/Logging_1496/artfynd/A 100-2023 artfynd.xlsx", "A 100-2023")</f>
        <v/>
      </c>
      <c r="X23">
        <f>HYPERLINK("https://klasma.github.io/Logging_1496/kartor/A 100-2023 karta.png", "A 100-2023")</f>
        <v/>
      </c>
      <c r="Y23">
        <f>HYPERLINK("https://klasma.github.io/Logging_1496/kartor_geotiff/A 100-2023 georefererad karta.tif", "A 100-2023")</f>
        <v/>
      </c>
      <c r="AA23">
        <f>HYPERLINK("https://klasma.github.io/Logging_1496/klagomål/A 100-2023 FSC-klagomål.docx", "A 100-2023")</f>
        <v/>
      </c>
      <c r="AB23">
        <f>HYPERLINK("https://klasma.github.io/Logging_1496/klagomålsmail/A 100-2023 FSC-klagomål mail.docx", "A 100-2023")</f>
        <v/>
      </c>
      <c r="AC23">
        <f>HYPERLINK("https://klasma.github.io/Logging_1496/tillsyn/A 100-2023 tillsynsbegäran.docx", "A 100-2023")</f>
        <v/>
      </c>
      <c r="AD23">
        <f>HYPERLINK("https://klasma.github.io/Logging_1496/tillsynsmail/A 100-2023 tillsynsbegäran mail.docx", "A 100-2023")</f>
        <v/>
      </c>
    </row>
    <row r="24" ht="15" customHeight="1">
      <c r="A24" t="inlineStr">
        <is>
          <t>A 36627-2022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44804</v>
      </c>
      <c r="E24" s="1" t="n">
        <v>46310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Skogsalm
Myskbock
Kråka</t>
        </is>
      </c>
      <c r="W24">
        <f>HYPERLINK("https://klasma.github.io/Logging_1496/artfynd/A 36627-2022 artfynd.xlsx", "A 36627-2022")</f>
        <v/>
      </c>
      <c r="X24">
        <f>HYPERLINK("https://klasma.github.io/Logging_1496/kartor/A 36627-2022 karta.png", "A 36627-2022")</f>
        <v/>
      </c>
      <c r="Y24">
        <f>HYPERLINK("https://klasma.github.io/Logging_1496/kartor_geotiff/A 36627-2022 georefererad karta.tif", "A 36627-2022")</f>
        <v/>
      </c>
      <c r="AA24">
        <f>HYPERLINK("https://klasma.github.io/Logging_1496/klagomål/A 36627-2022 FSC-klagomål.docx", "A 36627-2022")</f>
        <v/>
      </c>
      <c r="AB24">
        <f>HYPERLINK("https://klasma.github.io/Logging_1496/klagomålsmail/A 36627-2022 FSC-klagomål mail.docx", "A 36627-2022")</f>
        <v/>
      </c>
      <c r="AC24">
        <f>HYPERLINK("https://klasma.github.io/Logging_1496/tillsyn/A 36627-2022 tillsynsbegäran.docx", "A 36627-2022")</f>
        <v/>
      </c>
      <c r="AD24">
        <f>HYPERLINK("https://klasma.github.io/Logging_1496/tillsynsmail/A 36627-2022 tillsynsbegäran mail.docx", "A 36627-2022")</f>
        <v/>
      </c>
    </row>
    <row r="25" ht="15" customHeight="1">
      <c r="A25" t="inlineStr">
        <is>
          <t>A 39624-2026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46310</v>
      </c>
      <c r="F25" t="inlineStr">
        <is>
          <t>VÄSTRA GÖTALANDS LÄN</t>
        </is>
      </c>
      <c r="G25" t="inlineStr">
        <is>
          <t>SKÖVDE</t>
        </is>
      </c>
      <c r="I25" t="n">
        <v>3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Skogsbräsma
Grönvit nattviol</t>
        </is>
      </c>
      <c r="W25">
        <f>HYPERLINK("https://klasma.github.io/Logging_1496/artfynd/A 39624-2026 artfynd.xlsx", "A 39624-2026")</f>
        <v/>
      </c>
      <c r="X25">
        <f>HYPERLINK("https://klasma.github.io/Logging_1496/kartor/A 39624-2026 karta.png", "A 39624-2026")</f>
        <v/>
      </c>
      <c r="Y25">
        <f>HYPERLINK("https://klasma.github.io/Logging_1496/kartor_geotiff/A 39624-2026 georefererad karta.tif", "A 39624-2026")</f>
        <v/>
      </c>
      <c r="AA25">
        <f>HYPERLINK("https://klasma.github.io/Logging_1496/klagomål/A 39624-2026 FSC-klagomål.docx", "A 39624-2026")</f>
        <v/>
      </c>
      <c r="AB25">
        <f>HYPERLINK("https://klasma.github.io/Logging_1496/klagomålsmail/A 39624-2026 FSC-klagomål mail.docx", "A 39624-2026")</f>
        <v/>
      </c>
      <c r="AC25">
        <f>HYPERLINK("https://klasma.github.io/Logging_1496/tillsyn/A 39624-2026 tillsynsbegäran.docx", "A 39624-2026")</f>
        <v/>
      </c>
      <c r="AD25">
        <f>HYPERLINK("https://klasma.github.io/Logging_1496/tillsynsmail/A 39624-2026 tillsynsbegäran mail.docx", "A 39624-2026")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46310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46310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46310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27109-2024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46310</v>
      </c>
      <c r="F29" t="inlineStr">
        <is>
          <t>VÄSTRA GÖTALANDS LÄN</t>
        </is>
      </c>
      <c r="G29" t="inlineStr">
        <is>
          <t>SKÖVDE</t>
        </is>
      </c>
      <c r="I29" t="n">
        <v>2.7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Backstarr
Jungfrulin</t>
        </is>
      </c>
      <c r="W29">
        <f>HYPERLINK("https://klasma.github.io/Logging_1496/artfynd/A 27109-2024 artfynd.xlsx", "A 27109-2024")</f>
        <v/>
      </c>
      <c r="X29">
        <f>HYPERLINK("https://klasma.github.io/Logging_1496/kartor/A 27109-2024 karta.png", "A 27109-2024")</f>
        <v/>
      </c>
      <c r="Y29">
        <f>HYPERLINK("https://klasma.github.io/Logging_1496/kartor_geotiff/A 27109-2024 georefererad karta.tif", "A 27109-2024")</f>
        <v/>
      </c>
      <c r="AA29">
        <f>HYPERLINK("https://klasma.github.io/Logging_1496/klagomål/A 27109-2024 FSC-klagomål.docx", "A 27109-2024")</f>
        <v/>
      </c>
      <c r="AB29">
        <f>HYPERLINK("https://klasma.github.io/Logging_1496/klagomålsmail/A 27109-2024 FSC-klagomål mail.docx", "A 27109-2024")</f>
        <v/>
      </c>
      <c r="AC29">
        <f>HYPERLINK("https://klasma.github.io/Logging_1496/tillsyn/A 27109-2024 tillsynsbegäran.docx", "A 27109-2024")</f>
        <v/>
      </c>
      <c r="AD29">
        <f>HYPERLINK("https://klasma.github.io/Logging_1496/tillsynsmail/A 27109-2024 tillsynsbegäran mail.docx", "A 27109-2024")</f>
        <v/>
      </c>
    </row>
    <row r="30" ht="15" customHeight="1">
      <c r="A30" t="inlineStr">
        <is>
          <t>A 25093-2025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46310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Ask
Skogsalm</t>
        </is>
      </c>
      <c r="W30">
        <f>HYPERLINK("https://klasma.github.io/Logging_1496/artfynd/A 25093-2025 artfynd.xlsx", "A 25093-2025")</f>
        <v/>
      </c>
      <c r="X30">
        <f>HYPERLINK("https://klasma.github.io/Logging_1496/kartor/A 25093-2025 karta.png", "A 25093-2025")</f>
        <v/>
      </c>
      <c r="Y30">
        <f>HYPERLINK("https://klasma.github.io/Logging_1496/kartor_geotiff/A 25093-2025 georefererad karta.tif", "A 25093-2025")</f>
        <v/>
      </c>
      <c r="AA30">
        <f>HYPERLINK("https://klasma.github.io/Logging_1496/klagomål/A 25093-2025 FSC-klagomål.docx", "A 25093-2025")</f>
        <v/>
      </c>
      <c r="AB30">
        <f>HYPERLINK("https://klasma.github.io/Logging_1496/klagomålsmail/A 25093-2025 FSC-klagomål mail.docx", "A 25093-2025")</f>
        <v/>
      </c>
      <c r="AC30">
        <f>HYPERLINK("https://klasma.github.io/Logging_1496/tillsyn/A 25093-2025 tillsynsbegäran.docx", "A 25093-2025")</f>
        <v/>
      </c>
      <c r="AD30">
        <f>HYPERLINK("https://klasma.github.io/Logging_1496/tillsynsmail/A 25093-2025 tillsynsbegäran mail.docx", "A 25093-2025")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46310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24996-2025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46310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Granbronssopp
Fjällig taggsvamp s.str.</t>
        </is>
      </c>
      <c r="W32">
        <f>HYPERLINK("https://klasma.github.io/Logging_1496/artfynd/A 24996-2025 artfynd.xlsx", "A 24996-2025")</f>
        <v/>
      </c>
      <c r="X32">
        <f>HYPERLINK("https://klasma.github.io/Logging_1496/kartor/A 24996-2025 karta.png", "A 24996-2025")</f>
        <v/>
      </c>
      <c r="Y32">
        <f>HYPERLINK("https://klasma.github.io/Logging_1496/kartor_geotiff/A 24996-2025 georefererad karta.tif", "A 24996-2025")</f>
        <v/>
      </c>
      <c r="AA32">
        <f>HYPERLINK("https://klasma.github.io/Logging_1496/klagomål/A 24996-2025 FSC-klagomål.docx", "A 24996-2025")</f>
        <v/>
      </c>
      <c r="AB32">
        <f>HYPERLINK("https://klasma.github.io/Logging_1496/klagomålsmail/A 24996-2025 FSC-klagomål mail.docx", "A 24996-2025")</f>
        <v/>
      </c>
      <c r="AC32">
        <f>HYPERLINK("https://klasma.github.io/Logging_1496/tillsyn/A 24996-2025 tillsynsbegäran.docx", "A 24996-2025")</f>
        <v/>
      </c>
      <c r="AD32">
        <f>HYPERLINK("https://klasma.github.io/Logging_1496/tillsynsmail/A 24996-2025 tillsynsbegäran mail.docx", "A 24996-2025")</f>
        <v/>
      </c>
    </row>
    <row r="33" ht="15" customHeight="1">
      <c r="A33" t="inlineStr">
        <is>
          <t>A 24383-2025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46310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0.8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Mindre hackspett
Åkergroda</t>
        </is>
      </c>
      <c r="W33">
        <f>HYPERLINK("https://klasma.github.io/Logging_1496/artfynd/A 24383-2025 artfynd.xlsx", "A 24383-2025")</f>
        <v/>
      </c>
      <c r="X33">
        <f>HYPERLINK("https://klasma.github.io/Logging_1496/kartor/A 24383-2025 karta.png", "A 24383-2025")</f>
        <v/>
      </c>
      <c r="Y33">
        <f>HYPERLINK("https://klasma.github.io/Logging_1496/kartor_geotiff/A 24383-2025 georefererad karta.tif", "A 24383-2025")</f>
        <v/>
      </c>
      <c r="AA33">
        <f>HYPERLINK("https://klasma.github.io/Logging_1496/klagomål/A 24383-2025 FSC-klagomål.docx", "A 24383-2025")</f>
        <v/>
      </c>
      <c r="AB33">
        <f>HYPERLINK("https://klasma.github.io/Logging_1496/klagomålsmail/A 24383-2025 FSC-klagomål mail.docx", "A 24383-2025")</f>
        <v/>
      </c>
      <c r="AC33">
        <f>HYPERLINK("https://klasma.github.io/Logging_1496/tillsyn/A 24383-2025 tillsynsbegäran.docx", "A 24383-2025")</f>
        <v/>
      </c>
      <c r="AD33">
        <f>HYPERLINK("https://klasma.github.io/Logging_1496/tillsynsmail/A 24383-2025 tillsynsbegäran mail.docx", "A 24383-2025")</f>
        <v/>
      </c>
      <c r="AE33">
        <f>HYPERLINK("https://klasma.github.io/Logging_1496/fåglar/A 24383-2025 prioriterade fågelarter.docx", "A 24383-2025")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46310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46310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46310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42017-2025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45903</v>
      </c>
      <c r="E37" s="1" t="n">
        <v>46310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Mattlummer</t>
        </is>
      </c>
      <c r="W37">
        <f>HYPERLINK("https://klasma.github.io/Logging_1496/artfynd/A 42017-2025 artfynd.xlsx", "A 42017-2025")</f>
        <v/>
      </c>
      <c r="X37">
        <f>HYPERLINK("https://klasma.github.io/Logging_1496/kartor/A 42017-2025 karta.png", "A 42017-2025")</f>
        <v/>
      </c>
      <c r="Y37">
        <f>HYPERLINK("https://klasma.github.io/Logging_1496/kartor_geotiff/A 42017-2025 georefererad karta.tif", "A 42017-2025")</f>
        <v/>
      </c>
      <c r="AA37">
        <f>HYPERLINK("https://klasma.github.io/Logging_1496/klagomål/A 42017-2025 FSC-klagomål.docx", "A 42017-2025")</f>
        <v/>
      </c>
      <c r="AB37">
        <f>HYPERLINK("https://klasma.github.io/Logging_1496/klagomålsmail/A 42017-2025 FSC-klagomål mail.docx", "A 42017-2025")</f>
        <v/>
      </c>
      <c r="AC37">
        <f>HYPERLINK("https://klasma.github.io/Logging_1496/tillsyn/A 42017-2025 tillsynsbegäran.docx", "A 42017-2025")</f>
        <v/>
      </c>
      <c r="AD37">
        <f>HYPERLINK("https://klasma.github.io/Logging_1496/tillsynsmail/A 42017-2025 tillsynsbegäran mail.docx", "A 42017-2025")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46310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22268-2025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45785</v>
      </c>
      <c r="E39" s="1" t="n">
        <v>46310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2</v>
      </c>
      <c r="V39" s="2" t="inlineStr">
        <is>
          <t>Knärot
Motaggsvamp</t>
        </is>
      </c>
      <c r="W39">
        <f>HYPERLINK("https://klasma.github.io/Logging_1496/artfynd/A 22268-2025 artfynd.xlsx", "A 22268-2025")</f>
        <v/>
      </c>
      <c r="X39">
        <f>HYPERLINK("https://klasma.github.io/Logging_1496/kartor/A 22268-2025 karta.png", "A 22268-2025")</f>
        <v/>
      </c>
      <c r="Y39">
        <f>HYPERLINK("https://klasma.github.io/Logging_1496/kartor_geotiff/A 22268-2025 georefererad karta.tif", "A 22268-2025")</f>
        <v/>
      </c>
      <c r="Z39">
        <f>HYPERLINK("https://klasma.github.io/Logging_1496/knärot/A 22268-2025 karta knärot.png", "A 22268-2025")</f>
        <v/>
      </c>
      <c r="AA39">
        <f>HYPERLINK("https://klasma.github.io/Logging_1496/klagomål/A 22268-2025 FSC-klagomål.docx", "A 22268-2025")</f>
        <v/>
      </c>
      <c r="AB39">
        <f>HYPERLINK("https://klasma.github.io/Logging_1496/klagomålsmail/A 22268-2025 FSC-klagomål mail.docx", "A 22268-2025")</f>
        <v/>
      </c>
      <c r="AC39">
        <f>HYPERLINK("https://klasma.github.io/Logging_1496/tillsyn/A 22268-2025 tillsynsbegäran.docx", "A 22268-2025")</f>
        <v/>
      </c>
      <c r="AD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45743</v>
      </c>
      <c r="E40" s="1" t="n">
        <v>46310</v>
      </c>
      <c r="F40" t="inlineStr">
        <is>
          <t>VÄSTRA GÖTALANDS LÄN</t>
        </is>
      </c>
      <c r="G40" t="inlineStr">
        <is>
          <t>SKÖVDE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Gullpudra</t>
        </is>
      </c>
      <c r="W40">
        <f>HYPERLINK("https://klasma.github.io/Logging_1496/artfynd/A 14964-2025 artfynd.xlsx", "A 14964-2025")</f>
        <v/>
      </c>
      <c r="X40">
        <f>HYPERLINK("https://klasma.github.io/Logging_1496/kartor/A 14964-2025 karta.png", "A 14964-2025")</f>
        <v/>
      </c>
      <c r="Y40">
        <f>HYPERLINK("https://klasma.github.io/Logging_1496/kartor_geotiff/A 14964-2025 georefererad karta.tif", "A 14964-2025")</f>
        <v/>
      </c>
      <c r="AA40">
        <f>HYPERLINK("https://klasma.github.io/Logging_1496/klagomål/A 14964-2025 FSC-klagomål.docx", "A 14964-2025")</f>
        <v/>
      </c>
      <c r="AB40">
        <f>HYPERLINK("https://klasma.github.io/Logging_1496/klagomålsmail/A 14964-2025 FSC-klagomål mail.docx", "A 14964-2025")</f>
        <v/>
      </c>
      <c r="AC40">
        <f>HYPERLINK("https://klasma.github.io/Logging_1496/tillsyn/A 14964-2025 tillsynsbegäran.docx", "A 14964-2025")</f>
        <v/>
      </c>
      <c r="AD40">
        <f>HYPERLINK("https://klasma.github.io/Logging_1496/tillsynsmail/A 14964-2025 tillsynsbegäran mail.docx", "A 14964-2025")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46310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26712-2025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46310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26712-2025 artfynd.xlsx", "A 26712-2025")</f>
        <v/>
      </c>
      <c r="X42">
        <f>HYPERLINK("https://klasma.github.io/Logging_1496/kartor/A 26712-2025 karta.png", "A 26712-2025")</f>
        <v/>
      </c>
      <c r="Y42">
        <f>HYPERLINK("https://klasma.github.io/Logging_1496/kartor_geotiff/A 26712-2025 georefererad karta.tif", "A 26712-2025")</f>
        <v/>
      </c>
      <c r="AA42">
        <f>HYPERLINK("https://klasma.github.io/Logging_1496/klagomål/A 26712-2025 FSC-klagomål.docx", "A 26712-2025")</f>
        <v/>
      </c>
      <c r="AB42">
        <f>HYPERLINK("https://klasma.github.io/Logging_1496/klagomålsmail/A 26712-2025 FSC-klagomål mail.docx", "A 26712-2025")</f>
        <v/>
      </c>
      <c r="AC42">
        <f>HYPERLINK("https://klasma.github.io/Logging_1496/tillsyn/A 26712-2025 tillsynsbegäran.docx", "A 26712-2025")</f>
        <v/>
      </c>
      <c r="AD42">
        <f>HYPERLINK("https://klasma.github.io/Logging_1496/tillsynsmail/A 26712-2025 tillsynsbegäran mail.docx", "A 26712-2025")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46310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46310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46310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46310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47898-2023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45204</v>
      </c>
      <c r="E47" s="1" t="n">
        <v>46310</v>
      </c>
      <c r="F47" t="inlineStr">
        <is>
          <t>VÄSTRA GÖTALANDS LÄN</t>
        </is>
      </c>
      <c r="G47" t="inlineStr">
        <is>
          <t>SKÖVDE</t>
        </is>
      </c>
      <c r="I47" t="n">
        <v>9.5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Karminticka</t>
        </is>
      </c>
      <c r="W47">
        <f>HYPERLINK("https://klasma.github.io/Logging_1496/artfynd/A 47898-2023 artfynd.xlsx", "A 47898-2023")</f>
        <v/>
      </c>
      <c r="X47">
        <f>HYPERLINK("https://klasma.github.io/Logging_1496/kartor/A 47898-2023 karta.png", "A 47898-2023")</f>
        <v/>
      </c>
      <c r="Y47">
        <f>HYPERLINK("https://klasma.github.io/Logging_1496/kartor_geotiff/A 47898-2023 georefererad karta.tif", "A 47898-2023")</f>
        <v/>
      </c>
      <c r="AA47">
        <f>HYPERLINK("https://klasma.github.io/Logging_1496/klagomål/A 47898-2023 FSC-klagomål.docx", "A 47898-2023")</f>
        <v/>
      </c>
      <c r="AB47">
        <f>HYPERLINK("https://klasma.github.io/Logging_1496/klagomålsmail/A 47898-2023 FSC-klagomål mail.docx", "A 47898-2023")</f>
        <v/>
      </c>
      <c r="AC47">
        <f>HYPERLINK("https://klasma.github.io/Logging_1496/tillsyn/A 47898-2023 tillsynsbegäran.docx", "A 47898-2023")</f>
        <v/>
      </c>
      <c r="AD47">
        <f>HYPERLINK("https://klasma.github.io/Logging_1496/tillsynsmail/A 47898-2023 tillsynsbegäran mail.docx", "A 47898-2023")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46310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46310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46310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46310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46310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Grönvit nattviol</t>
        </is>
      </c>
      <c r="W52">
        <f>HYPERLINK("https://klasma.github.io/Logging_1496/artfynd/A 42904-2023 artfynd.xlsx", "A 42904-2023")</f>
        <v/>
      </c>
      <c r="X52">
        <f>HYPERLINK("https://klasma.github.io/Logging_1496/kartor/A 42904-2023 karta.png", "A 42904-2023")</f>
        <v/>
      </c>
      <c r="Y52">
        <f>HYPERLINK("https://klasma.github.io/Logging_1496/kartor_geotiff/A 42904-2023 georefererad karta.tif", "A 42904-2023")</f>
        <v/>
      </c>
      <c r="AA52">
        <f>HYPERLINK("https://klasma.github.io/Logging_1496/klagomål/A 42904-2023 FSC-klagomål.docx", "A 42904-2023")</f>
        <v/>
      </c>
      <c r="AB52">
        <f>HYPERLINK("https://klasma.github.io/Logging_1496/klagomålsmail/A 42904-2023 FSC-klagomål mail.docx", "A 42904-2023")</f>
        <v/>
      </c>
      <c r="AC52">
        <f>HYPERLINK("https://klasma.github.io/Logging_1496/tillsyn/A 42904-2023 tillsynsbegäran.docx", "A 42904-2023")</f>
        <v/>
      </c>
      <c r="AD52">
        <f>HYPERLINK("https://klasma.github.io/Logging_1496/tillsynsmail/A 42904-2023 tillsynsbegäran mail.docx", "A 42904-2023")</f>
        <v/>
      </c>
    </row>
    <row r="53" ht="15" customHeight="1">
      <c r="A53" t="inlineStr">
        <is>
          <t>A 28717-2026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46198</v>
      </c>
      <c r="E53" s="1" t="n">
        <v>46310</v>
      </c>
      <c r="F53" t="inlineStr">
        <is>
          <t>VÄSTRA GÖTALANDS LÄN</t>
        </is>
      </c>
      <c r="G53" t="inlineStr">
        <is>
          <t>SKÖVDE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28717-2026 artfynd.xlsx", "A 28717-2026")</f>
        <v/>
      </c>
      <c r="X53">
        <f>HYPERLINK("https://klasma.github.io/Logging_1496/kartor/A 28717-2026 karta.png", "A 28717-2026")</f>
        <v/>
      </c>
      <c r="Y53">
        <f>HYPERLINK("https://klasma.github.io/Logging_1496/kartor_geotiff/A 28717-2026 georefererad karta.tif", "A 28717-2026")</f>
        <v/>
      </c>
      <c r="AA53">
        <f>HYPERLINK("https://klasma.github.io/Logging_1496/klagomål/A 28717-2026 FSC-klagomål.docx", "A 28717-2026")</f>
        <v/>
      </c>
      <c r="AB53">
        <f>HYPERLINK("https://klasma.github.io/Logging_1496/klagomålsmail/A 28717-2026 FSC-klagomål mail.docx", "A 28717-2026")</f>
        <v/>
      </c>
      <c r="AC53">
        <f>HYPERLINK("https://klasma.github.io/Logging_1496/tillsyn/A 28717-2026 tillsynsbegäran.docx", "A 28717-2026")</f>
        <v/>
      </c>
      <c r="AD53">
        <f>HYPERLINK("https://klasma.github.io/Logging_1496/tillsynsmail/A 28717-2026 tillsynsbegäran mail.docx", "A 28717-2026")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46310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46310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46310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29011-2023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46310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5.4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Skogsbräsma</t>
        </is>
      </c>
      <c r="W57">
        <f>HYPERLINK("https://klasma.github.io/Logging_1496/artfynd/A 29011-2023 artfynd.xlsx", "A 29011-2023")</f>
        <v/>
      </c>
      <c r="X57">
        <f>HYPERLINK("https://klasma.github.io/Logging_1496/kartor/A 29011-2023 karta.png", "A 29011-2023")</f>
        <v/>
      </c>
      <c r="Y57">
        <f>HYPERLINK("https://klasma.github.io/Logging_1496/kartor_geotiff/A 29011-2023 georefererad karta.tif", "A 29011-2023")</f>
        <v/>
      </c>
      <c r="AA57">
        <f>HYPERLINK("https://klasma.github.io/Logging_1496/klagomål/A 29011-2023 FSC-klagomål.docx", "A 29011-2023")</f>
        <v/>
      </c>
      <c r="AB57">
        <f>HYPERLINK("https://klasma.github.io/Logging_1496/klagomålsmail/A 29011-2023 FSC-klagomål mail.docx", "A 29011-2023")</f>
        <v/>
      </c>
      <c r="AC57">
        <f>HYPERLINK("https://klasma.github.io/Logging_1496/tillsyn/A 29011-2023 tillsynsbegäran.docx", "A 29011-2023")</f>
        <v/>
      </c>
      <c r="AD57">
        <f>HYPERLINK("https://klasma.github.io/Logging_1496/tillsynsmail/A 29011-2023 tillsynsbegäran mail.docx", "A 29011-2023")</f>
        <v/>
      </c>
    </row>
    <row r="58" ht="15" customHeight="1">
      <c r="A58" t="inlineStr">
        <is>
          <t>A 15417-2023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46310</v>
      </c>
      <c r="F58" t="inlineStr">
        <is>
          <t>VÄSTRA GÖTALANDS LÄN</t>
        </is>
      </c>
      <c r="G58" t="inlineStr">
        <is>
          <t>SKÖVDE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Gullpudra</t>
        </is>
      </c>
      <c r="W58">
        <f>HYPERLINK("https://klasma.github.io/Logging_1496/artfynd/A 15417-2023 artfynd.xlsx", "A 15417-2023")</f>
        <v/>
      </c>
      <c r="X58">
        <f>HYPERLINK("https://klasma.github.io/Logging_1496/kartor/A 15417-2023 karta.png", "A 15417-2023")</f>
        <v/>
      </c>
      <c r="Y58">
        <f>HYPERLINK("https://klasma.github.io/Logging_1496/kartor_geotiff/A 15417-2023 georefererad karta.tif", "A 15417-2023")</f>
        <v/>
      </c>
      <c r="AA58">
        <f>HYPERLINK("https://klasma.github.io/Logging_1496/klagomål/A 15417-2023 FSC-klagomål.docx", "A 15417-2023")</f>
        <v/>
      </c>
      <c r="AB58">
        <f>HYPERLINK("https://klasma.github.io/Logging_1496/klagomålsmail/A 15417-2023 FSC-klagomål mail.docx", "A 15417-2023")</f>
        <v/>
      </c>
      <c r="AC58">
        <f>HYPERLINK("https://klasma.github.io/Logging_1496/tillsyn/A 15417-2023 tillsynsbegäran.docx", "A 15417-2023")</f>
        <v/>
      </c>
      <c r="AD58">
        <f>HYPERLINK("https://klasma.github.io/Logging_1496/tillsynsmail/A 15417-2023 tillsynsbegäran mail.docx", "A 15417-2023")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46310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46310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46310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46310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46310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46310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46310</v>
      </c>
      <c r="F66" t="inlineStr">
        <is>
          <t>VÄSTRA GÖTALANDS LÄN</t>
        </is>
      </c>
      <c r="G66" t="inlineStr">
        <is>
          <t>SKÖVDE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46310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46310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46310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46310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46310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46310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46310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46310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46310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46310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35280-2024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45530</v>
      </c>
      <c r="E77" s="1" t="n">
        <v>46310</v>
      </c>
      <c r="F77" t="inlineStr">
        <is>
          <t>VÄSTRA GÖTALANDS LÄN</t>
        </is>
      </c>
      <c r="G77" t="inlineStr">
        <is>
          <t>SKÖVDE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46310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45401</v>
      </c>
      <c r="E79" s="1" t="n">
        <v>46310</v>
      </c>
      <c r="F79" t="inlineStr">
        <is>
          <t>VÄSTRA GÖTALANDS LÄN</t>
        </is>
      </c>
      <c r="G79" t="inlineStr">
        <is>
          <t>SKÖVDE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45334</v>
      </c>
      <c r="E80" s="1" t="n">
        <v>46310</v>
      </c>
      <c r="F80" t="inlineStr">
        <is>
          <t>VÄSTRA GÖTALANDS LÄN</t>
        </is>
      </c>
      <c r="G80" t="inlineStr">
        <is>
          <t>SKÖVDE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45142</v>
      </c>
      <c r="E81" s="1" t="n">
        <v>46310</v>
      </c>
      <c r="F81" t="inlineStr">
        <is>
          <t>VÄSTRA GÖTALANDS LÄN</t>
        </is>
      </c>
      <c r="G81" t="inlineStr">
        <is>
          <t>SKÖVDE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12972-2025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46310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Kommuner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44963</v>
      </c>
      <c r="E83" s="1" t="n">
        <v>46310</v>
      </c>
      <c r="F83" t="inlineStr">
        <is>
          <t>VÄSTRA GÖTALANDS LÄN</t>
        </is>
      </c>
      <c r="G83" t="inlineStr">
        <is>
          <t>SKÖVDE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46310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46310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45796</v>
      </c>
      <c r="E86" s="1" t="n">
        <v>46310</v>
      </c>
      <c r="F86" t="inlineStr">
        <is>
          <t>VÄSTRA GÖTALANDS LÄN</t>
        </is>
      </c>
      <c r="G86" t="inlineStr">
        <is>
          <t>SKÖVDE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46310</v>
      </c>
      <c r="F87" t="inlineStr">
        <is>
          <t>VÄSTRA GÖTALANDS LÄN</t>
        </is>
      </c>
      <c r="G87" t="inlineStr">
        <is>
          <t>SKÖVDE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46310</v>
      </c>
      <c r="F88" t="inlineStr">
        <is>
          <t>VÄSTRA GÖTALANDS LÄN</t>
        </is>
      </c>
      <c r="G88" t="inlineStr">
        <is>
          <t>SKÖVDE</t>
        </is>
      </c>
      <c r="H88" t="inlineStr">
        <is>
          <t>Kommuner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25003-2025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46310</v>
      </c>
      <c r="F89" t="inlineStr">
        <is>
          <t>VÄSTRA GÖTALANDS LÄN</t>
        </is>
      </c>
      <c r="G89" t="inlineStr">
        <is>
          <t>SKÖVDE</t>
        </is>
      </c>
      <c r="H89" t="inlineStr">
        <is>
          <t>Kommuner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27671-2022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46310</v>
      </c>
      <c r="F90" t="inlineStr">
        <is>
          <t>VÄSTRA GÖTALANDS LÄN</t>
        </is>
      </c>
      <c r="G90" t="inlineStr">
        <is>
          <t>SKÖVDE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25642-2025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45803</v>
      </c>
      <c r="E91" s="1" t="n">
        <v>46310</v>
      </c>
      <c r="F91" t="inlineStr">
        <is>
          <t>VÄSTRA GÖTALANDS LÄN</t>
        </is>
      </c>
      <c r="G91" t="inlineStr">
        <is>
          <t>SKÖVDE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44938</v>
      </c>
      <c r="E92" s="1" t="n">
        <v>46310</v>
      </c>
      <c r="F92" t="inlineStr">
        <is>
          <t>VÄSTRA GÖTALANDS LÄN</t>
        </is>
      </c>
      <c r="G92" t="inlineStr">
        <is>
          <t>SKÖVDE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45800</v>
      </c>
      <c r="E93" s="1" t="n">
        <v>46310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25639-2025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45800</v>
      </c>
      <c r="E94" s="1" t="n">
        <v>46310</v>
      </c>
      <c r="F94" t="inlineStr">
        <is>
          <t>VÄSTRA GÖTALANDS LÄN</t>
        </is>
      </c>
      <c r="G94" t="inlineStr">
        <is>
          <t>SKÖVDE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46310</v>
      </c>
      <c r="F95" t="inlineStr">
        <is>
          <t>VÄSTRA GÖTALANDS LÄN</t>
        </is>
      </c>
      <c r="G95" t="inlineStr">
        <is>
          <t>SKÖVDE</t>
        </is>
      </c>
      <c r="I95" t="n">
        <v>7.7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44635</v>
      </c>
      <c r="E96" s="1" t="n">
        <v>46310</v>
      </c>
      <c r="F96" t="inlineStr">
        <is>
          <t>VÄSTRA GÖTALANDS LÄN</t>
        </is>
      </c>
      <c r="G96" t="inlineStr">
        <is>
          <t>SKÖVDE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44823</v>
      </c>
      <c r="E97" s="1" t="n">
        <v>46310</v>
      </c>
      <c r="F97" t="inlineStr">
        <is>
          <t>VÄSTRA GÖTALANDS LÄN</t>
        </is>
      </c>
      <c r="G97" t="inlineStr">
        <is>
          <t>SKÖVDE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46310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44959</v>
      </c>
      <c r="E99" s="1" t="n">
        <v>46310</v>
      </c>
      <c r="F99" t="inlineStr">
        <is>
          <t>VÄSTRA GÖTALANDS LÄN</t>
        </is>
      </c>
      <c r="G99" t="inlineStr">
        <is>
          <t>SKÖVDE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46310</v>
      </c>
      <c r="F100" t="inlineStr">
        <is>
          <t>VÄSTRA GÖTALANDS LÄN</t>
        </is>
      </c>
      <c r="G100" t="inlineStr">
        <is>
          <t>SKÖVDE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46310</v>
      </c>
      <c r="F101" t="inlineStr">
        <is>
          <t>VÄSTRA GÖTALANDS LÄN</t>
        </is>
      </c>
      <c r="G101" t="inlineStr">
        <is>
          <t>SKÖVDE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46310</v>
      </c>
      <c r="F102" t="inlineStr">
        <is>
          <t>VÄSTRA GÖTALANDS LÄN</t>
        </is>
      </c>
      <c r="G102" t="inlineStr">
        <is>
          <t>SKÖVDE</t>
        </is>
      </c>
      <c r="I102" t="n">
        <v>12.3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60117-2021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44495</v>
      </c>
      <c r="E103" s="1" t="n">
        <v>46310</v>
      </c>
      <c r="F103" t="inlineStr">
        <is>
          <t>VÄSTRA GÖTALANDS LÄN</t>
        </is>
      </c>
      <c r="G103" t="inlineStr">
        <is>
          <t>SKÖVDE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46310</v>
      </c>
      <c r="F104" t="inlineStr">
        <is>
          <t>VÄSTRA GÖTALANDS LÄN</t>
        </is>
      </c>
      <c r="G104" t="inlineStr">
        <is>
          <t>SKÖVDE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46310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29012-2025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45821</v>
      </c>
      <c r="E106" s="1" t="n">
        <v>46310</v>
      </c>
      <c r="F106" t="inlineStr">
        <is>
          <t>VÄSTRA GÖTALANDS LÄN</t>
        </is>
      </c>
      <c r="G106" t="inlineStr">
        <is>
          <t>SKÖVDE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46310</v>
      </c>
      <c r="F107" t="inlineStr">
        <is>
          <t>VÄSTRA GÖTALANDS LÄN</t>
        </is>
      </c>
      <c r="G107" t="inlineStr">
        <is>
          <t>SKÖVDE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46310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Kommuner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46310</v>
      </c>
      <c r="F109" t="inlineStr">
        <is>
          <t>VÄSTRA GÖTALANDS LÄN</t>
        </is>
      </c>
      <c r="G109" t="inlineStr">
        <is>
          <t>SKÖVDE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46310</v>
      </c>
      <c r="F110" t="inlineStr">
        <is>
          <t>VÄSTRA GÖTALANDS LÄN</t>
        </is>
      </c>
      <c r="G110" t="inlineStr">
        <is>
          <t>SKÖVDE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46310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Kommuner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46401-2023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45197</v>
      </c>
      <c r="E112" s="1" t="n">
        <v>46310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38499-2025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46310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10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46310</v>
      </c>
      <c r="F114" t="inlineStr">
        <is>
          <t>VÄSTRA GÖTALANDS LÄN</t>
        </is>
      </c>
      <c r="G114" t="inlineStr">
        <is>
          <t>SKÖVDE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45853</v>
      </c>
      <c r="E115" s="1" t="n">
        <v>46310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46310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46310</v>
      </c>
      <c r="F117" t="inlineStr">
        <is>
          <t>VÄSTRA GÖTALANDS LÄN</t>
        </is>
      </c>
      <c r="G117" t="inlineStr">
        <is>
          <t>SKÖVDE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46310</v>
      </c>
      <c r="F118" t="inlineStr">
        <is>
          <t>VÄSTRA GÖTALANDS LÄN</t>
        </is>
      </c>
      <c r="G118" t="inlineStr">
        <is>
          <t>SKÖVDE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46310</v>
      </c>
      <c r="F119" t="inlineStr">
        <is>
          <t>VÄSTRA GÖTALANDS LÄN</t>
        </is>
      </c>
      <c r="G119" t="inlineStr">
        <is>
          <t>SKÖVDE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46310</v>
      </c>
      <c r="F120" t="inlineStr">
        <is>
          <t>VÄSTRA GÖTALANDS LÄN</t>
        </is>
      </c>
      <c r="G120" t="inlineStr">
        <is>
          <t>SKÖVDE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46310</v>
      </c>
      <c r="F121" t="inlineStr">
        <is>
          <t>VÄSTRA GÖTALANDS LÄN</t>
        </is>
      </c>
      <c r="G121" t="inlineStr">
        <is>
          <t>SKÖVDE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46310</v>
      </c>
      <c r="F122" t="inlineStr">
        <is>
          <t>VÄSTRA GÖTALANDS LÄN</t>
        </is>
      </c>
      <c r="G122" t="inlineStr">
        <is>
          <t>SKÖVDE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46310</v>
      </c>
      <c r="F123" t="inlineStr">
        <is>
          <t>VÄSTRA GÖTALANDS LÄN</t>
        </is>
      </c>
      <c r="G123" t="inlineStr">
        <is>
          <t>SKÖVDE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46310</v>
      </c>
      <c r="F124" t="inlineStr">
        <is>
          <t>VÄSTRA GÖTALANDS LÄN</t>
        </is>
      </c>
      <c r="G124" t="inlineStr">
        <is>
          <t>SKÖVDE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45846</v>
      </c>
      <c r="E125" s="1" t="n">
        <v>46310</v>
      </c>
      <c r="F125" t="inlineStr">
        <is>
          <t>VÄSTRA GÖTALANDS LÄN</t>
        </is>
      </c>
      <c r="G125" t="inlineStr">
        <is>
          <t>SKÖVDE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46310</v>
      </c>
      <c r="F126" t="inlineStr">
        <is>
          <t>VÄSTRA GÖTALANDS LÄN</t>
        </is>
      </c>
      <c r="G126" t="inlineStr">
        <is>
          <t>SKÖVDE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45560</v>
      </c>
      <c r="E127" s="1" t="n">
        <v>46310</v>
      </c>
      <c r="F127" t="inlineStr">
        <is>
          <t>VÄSTRA GÖTALANDS LÄN</t>
        </is>
      </c>
      <c r="G127" t="inlineStr">
        <is>
          <t>SKÖVDE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46310</v>
      </c>
      <c r="F128" t="inlineStr">
        <is>
          <t>VÄSTRA GÖTALANDS LÄN</t>
        </is>
      </c>
      <c r="G128" t="inlineStr">
        <is>
          <t>SKÖVDE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46310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46310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45721</v>
      </c>
      <c r="E131" s="1" t="n">
        <v>46310</v>
      </c>
      <c r="F131" t="inlineStr">
        <is>
          <t>VÄSTRA GÖTALANDS LÄN</t>
        </is>
      </c>
      <c r="G131" t="inlineStr">
        <is>
          <t>SKÖVDE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46310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46310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45230</v>
      </c>
      <c r="E134" s="1" t="n">
        <v>46310</v>
      </c>
      <c r="F134" t="inlineStr">
        <is>
          <t>VÄSTRA GÖTALANDS LÄN</t>
        </is>
      </c>
      <c r="G134" t="inlineStr">
        <is>
          <t>SKÖVDE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46310</v>
      </c>
      <c r="F135" t="inlineStr">
        <is>
          <t>VÄSTRA GÖTALANDS LÄN</t>
        </is>
      </c>
      <c r="G135" t="inlineStr">
        <is>
          <t>SKÖVDE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45693</v>
      </c>
      <c r="E136" s="1" t="n">
        <v>46310</v>
      </c>
      <c r="F136" t="inlineStr">
        <is>
          <t>VÄSTRA GÖTALANDS LÄN</t>
        </is>
      </c>
      <c r="G136" t="inlineStr">
        <is>
          <t>SKÖVDE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45306</v>
      </c>
      <c r="E137" s="1" t="n">
        <v>46310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46310</v>
      </c>
      <c r="F138" t="inlineStr">
        <is>
          <t>VÄSTRA GÖTALANDS LÄN</t>
        </is>
      </c>
      <c r="G138" t="inlineStr">
        <is>
          <t>SKÖVDE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46310</v>
      </c>
      <c r="F139" t="inlineStr">
        <is>
          <t>VÄSTRA GÖTALANDS LÄN</t>
        </is>
      </c>
      <c r="G139" t="inlineStr">
        <is>
          <t>SKÖVDE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45905</v>
      </c>
      <c r="E140" s="1" t="n">
        <v>46310</v>
      </c>
      <c r="F140" t="inlineStr">
        <is>
          <t>VÄSTRA GÖTALANDS LÄN</t>
        </is>
      </c>
      <c r="G140" t="inlineStr">
        <is>
          <t>SKÖVDE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46310</v>
      </c>
      <c r="F141" t="inlineStr">
        <is>
          <t>VÄSTRA GÖTALANDS LÄN</t>
        </is>
      </c>
      <c r="G141" t="inlineStr">
        <is>
          <t>SKÖVDE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46310</v>
      </c>
      <c r="F142" t="inlineStr">
        <is>
          <t>VÄSTRA GÖTALANDS LÄN</t>
        </is>
      </c>
      <c r="G142" t="inlineStr">
        <is>
          <t>SKÖVDE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46310</v>
      </c>
      <c r="F143" t="inlineStr">
        <is>
          <t>VÄSTRA GÖTALANDS LÄN</t>
        </is>
      </c>
      <c r="G143" t="inlineStr">
        <is>
          <t>SKÖVDE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38264-2023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46310</v>
      </c>
      <c r="F144" t="inlineStr">
        <is>
          <t>VÄSTRA GÖTALANDS LÄN</t>
        </is>
      </c>
      <c r="G144" t="inlineStr">
        <is>
          <t>SKÖVDE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46310</v>
      </c>
      <c r="F145" t="inlineStr">
        <is>
          <t>VÄSTRA GÖTALANDS LÄN</t>
        </is>
      </c>
      <c r="G145" t="inlineStr">
        <is>
          <t>SKÖVDE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46310</v>
      </c>
      <c r="F146" t="inlineStr">
        <is>
          <t>VÄSTRA GÖTALANDS LÄN</t>
        </is>
      </c>
      <c r="G146" t="inlineStr">
        <is>
          <t>SKÖVDE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46310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46310</v>
      </c>
      <c r="F148" t="inlineStr">
        <is>
          <t>VÄSTRA GÖTALANDS LÄN</t>
        </is>
      </c>
      <c r="G148" t="inlineStr">
        <is>
          <t>SKÖVDE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46310</v>
      </c>
      <c r="F149" t="inlineStr">
        <is>
          <t>VÄSTRA GÖTALANDS LÄN</t>
        </is>
      </c>
      <c r="G149" t="inlineStr">
        <is>
          <t>SKÖVDE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46310</v>
      </c>
      <c r="F150" t="inlineStr">
        <is>
          <t>VÄSTRA GÖTALANDS LÄN</t>
        </is>
      </c>
      <c r="G150" t="inlineStr">
        <is>
          <t>SKÖVDE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67134-2021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44523</v>
      </c>
      <c r="E151" s="1" t="n">
        <v>46310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46310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45385</v>
      </c>
      <c r="E153" s="1" t="n">
        <v>46310</v>
      </c>
      <c r="F153" t="inlineStr">
        <is>
          <t>VÄSTRA GÖTALANDS LÄN</t>
        </is>
      </c>
      <c r="G153" t="inlineStr">
        <is>
          <t>SKÖVDE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46310</v>
      </c>
      <c r="F154" t="inlineStr">
        <is>
          <t>VÄSTRA GÖTALANDS LÄN</t>
        </is>
      </c>
      <c r="G154" t="inlineStr">
        <is>
          <t>SKÖVDE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46091</v>
      </c>
      <c r="E155" s="1" t="n">
        <v>46310</v>
      </c>
      <c r="F155" t="inlineStr">
        <is>
          <t>VÄSTRA GÖTALANDS LÄN</t>
        </is>
      </c>
      <c r="G155" t="inlineStr">
        <is>
          <t>SKÖVDE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46310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46310</v>
      </c>
      <c r="F157" t="inlineStr">
        <is>
          <t>VÄSTRA GÖTALANDS LÄN</t>
        </is>
      </c>
      <c r="G157" t="inlineStr">
        <is>
          <t>SKÖVDE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14281-2026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46099</v>
      </c>
      <c r="E158" s="1" t="n">
        <v>46310</v>
      </c>
      <c r="F158" t="inlineStr">
        <is>
          <t>VÄSTRA GÖTALANDS LÄN</t>
        </is>
      </c>
      <c r="G158" t="inlineStr">
        <is>
          <t>SKÖVDE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45636</v>
      </c>
      <c r="E159" s="1" t="n">
        <v>46310</v>
      </c>
      <c r="F159" t="inlineStr">
        <is>
          <t>VÄSTRA GÖTALANDS LÄN</t>
        </is>
      </c>
      <c r="G159" t="inlineStr">
        <is>
          <t>SKÖVDE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46310</v>
      </c>
      <c r="F160" t="inlineStr">
        <is>
          <t>VÄSTRA GÖTALANDS LÄN</t>
        </is>
      </c>
      <c r="G160" t="inlineStr">
        <is>
          <t>SKÖVDE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46310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46310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50829-2022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46310</v>
      </c>
      <c r="F163" t="inlineStr">
        <is>
          <t>VÄSTRA GÖTALANDS LÄN</t>
        </is>
      </c>
      <c r="G163" t="inlineStr">
        <is>
          <t>SKÖVDE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46310</v>
      </c>
      <c r="F164" t="inlineStr">
        <is>
          <t>VÄSTRA GÖTALANDS LÄN</t>
        </is>
      </c>
      <c r="G164" t="inlineStr">
        <is>
          <t>SKÖVDE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46310</v>
      </c>
      <c r="F165" t="inlineStr">
        <is>
          <t>VÄSTRA GÖTALANDS LÄN</t>
        </is>
      </c>
      <c r="G165" t="inlineStr">
        <is>
          <t>SKÖVDE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46310</v>
      </c>
      <c r="F166" t="inlineStr">
        <is>
          <t>VÄSTRA GÖTALANDS LÄN</t>
        </is>
      </c>
      <c r="G166" t="inlineStr">
        <is>
          <t>SKÖVDE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46310</v>
      </c>
      <c r="F167" t="inlineStr">
        <is>
          <t>VÄSTRA GÖTALANDS LÄN</t>
        </is>
      </c>
      <c r="G167" t="inlineStr">
        <is>
          <t>SKÖVDE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46310</v>
      </c>
      <c r="F168" t="inlineStr">
        <is>
          <t>VÄSTRA GÖTALANDS LÄN</t>
        </is>
      </c>
      <c r="G168" t="inlineStr">
        <is>
          <t>SKÖVDE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60588-2023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45259</v>
      </c>
      <c r="E169" s="1" t="n">
        <v>46310</v>
      </c>
      <c r="F169" t="inlineStr">
        <is>
          <t>VÄSTRA GÖTALANDS LÄN</t>
        </is>
      </c>
      <c r="G169" t="inlineStr">
        <is>
          <t>SKÖVDE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45594</v>
      </c>
      <c r="E170" s="1" t="n">
        <v>46310</v>
      </c>
      <c r="F170" t="inlineStr">
        <is>
          <t>VÄSTRA GÖTALANDS LÄN</t>
        </is>
      </c>
      <c r="G170" t="inlineStr">
        <is>
          <t>SKÖVDE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45894</v>
      </c>
      <c r="E171" s="1" t="n">
        <v>46310</v>
      </c>
      <c r="F171" t="inlineStr">
        <is>
          <t>VÄSTRA GÖTALANDS LÄN</t>
        </is>
      </c>
      <c r="G171" t="inlineStr">
        <is>
          <t>SKÖVDE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62803-2025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46008</v>
      </c>
      <c r="E172" s="1" t="n">
        <v>46310</v>
      </c>
      <c r="F172" t="inlineStr">
        <is>
          <t>VÄSTRA GÖTALANDS LÄN</t>
        </is>
      </c>
      <c r="G172" t="inlineStr">
        <is>
          <t>SKÖVDE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46310</v>
      </c>
      <c r="F173" t="inlineStr">
        <is>
          <t>VÄSTRA GÖTALANDS LÄN</t>
        </is>
      </c>
      <c r="G173" t="inlineStr">
        <is>
          <t>SKÖVDE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46310</v>
      </c>
      <c r="F174" t="inlineStr">
        <is>
          <t>VÄSTRA GÖTALANDS LÄN</t>
        </is>
      </c>
      <c r="G174" t="inlineStr">
        <is>
          <t>SKÖVDE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46310</v>
      </c>
      <c r="F175" t="inlineStr">
        <is>
          <t>VÄSTRA GÖTALANDS LÄN</t>
        </is>
      </c>
      <c r="G175" t="inlineStr">
        <is>
          <t>SKÖVDE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45847</v>
      </c>
      <c r="E176" s="1" t="n">
        <v>46310</v>
      </c>
      <c r="F176" t="inlineStr">
        <is>
          <t>VÄSTRA GÖTALANDS LÄN</t>
        </is>
      </c>
      <c r="G176" t="inlineStr">
        <is>
          <t>SKÖVDE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46310</v>
      </c>
      <c r="F177" t="inlineStr">
        <is>
          <t>VÄSTRA GÖTALANDS LÄN</t>
        </is>
      </c>
      <c r="G177" t="inlineStr">
        <is>
          <t>SKÖVDE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45670</v>
      </c>
      <c r="E178" s="1" t="n">
        <v>46310</v>
      </c>
      <c r="F178" t="inlineStr">
        <is>
          <t>VÄSTRA GÖTALANDS LÄN</t>
        </is>
      </c>
      <c r="G178" t="inlineStr">
        <is>
          <t>SKÖVDE</t>
        </is>
      </c>
      <c r="I178" t="n">
        <v>11.8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45693</v>
      </c>
      <c r="E179" s="1" t="n">
        <v>46310</v>
      </c>
      <c r="F179" t="inlineStr">
        <is>
          <t>VÄSTRA GÖTALANDS LÄN</t>
        </is>
      </c>
      <c r="G179" t="inlineStr">
        <is>
          <t>SKÖVDE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46017</v>
      </c>
      <c r="E180" s="1" t="n">
        <v>46310</v>
      </c>
      <c r="F180" t="inlineStr">
        <is>
          <t>VÄSTRA GÖTALANDS LÄN</t>
        </is>
      </c>
      <c r="G180" t="inlineStr">
        <is>
          <t>SKÖVDE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45301</v>
      </c>
      <c r="E181" s="1" t="n">
        <v>46310</v>
      </c>
      <c r="F181" t="inlineStr">
        <is>
          <t>VÄSTRA GÖTALANDS LÄN</t>
        </is>
      </c>
      <c r="G181" t="inlineStr">
        <is>
          <t>SKÖVDE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46310</v>
      </c>
      <c r="F182" t="inlineStr">
        <is>
          <t>VÄSTRA GÖTALANDS LÄN</t>
        </is>
      </c>
      <c r="G182" t="inlineStr">
        <is>
          <t>SKÖVDE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46036</v>
      </c>
      <c r="E183" s="1" t="n">
        <v>46310</v>
      </c>
      <c r="F183" t="inlineStr">
        <is>
          <t>VÄSTRA GÖTALANDS LÄN</t>
        </is>
      </c>
      <c r="G183" t="inlineStr">
        <is>
          <t>SKÖVDE</t>
        </is>
      </c>
      <c r="I183" t="n">
        <v>7.3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45376</v>
      </c>
      <c r="E184" s="1" t="n">
        <v>46310</v>
      </c>
      <c r="F184" t="inlineStr">
        <is>
          <t>VÄSTRA GÖTALANDS LÄN</t>
        </is>
      </c>
      <c r="G184" t="inlineStr">
        <is>
          <t>SKÖVDE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49416-2023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46310</v>
      </c>
      <c r="F185" t="inlineStr">
        <is>
          <t>VÄSTRA GÖTALANDS LÄN</t>
        </is>
      </c>
      <c r="G185" t="inlineStr">
        <is>
          <t>SKÖVDE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46310</v>
      </c>
      <c r="F186" t="inlineStr">
        <is>
          <t>VÄSTRA GÖTALANDS LÄN</t>
        </is>
      </c>
      <c r="G186" t="inlineStr">
        <is>
          <t>SKÖVDE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46310</v>
      </c>
      <c r="F187" t="inlineStr">
        <is>
          <t>VÄSTRA GÖTALANDS LÄN</t>
        </is>
      </c>
      <c r="G187" t="inlineStr">
        <is>
          <t>SKÖVDE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46310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46310</v>
      </c>
      <c r="F189" t="inlineStr">
        <is>
          <t>VÄSTRA GÖTALANDS LÄN</t>
        </is>
      </c>
      <c r="G189" t="inlineStr">
        <is>
          <t>SKÖVDE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46010</v>
      </c>
      <c r="E190" s="1" t="n">
        <v>46310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Övriga statliga verk och myndigheter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46062</v>
      </c>
      <c r="E191" s="1" t="n">
        <v>46310</v>
      </c>
      <c r="F191" t="inlineStr">
        <is>
          <t>VÄSTRA GÖTALANDS LÄN</t>
        </is>
      </c>
      <c r="G191" t="inlineStr">
        <is>
          <t>SKÖVDE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46310</v>
      </c>
      <c r="F192" t="inlineStr">
        <is>
          <t>VÄSTRA GÖTALANDS LÄN</t>
        </is>
      </c>
      <c r="G192" t="inlineStr">
        <is>
          <t>SKÖVDE</t>
        </is>
      </c>
      <c r="H192" t="inlineStr">
        <is>
          <t>Övriga statliga verk och myndigheter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63374-2025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46310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63375-2025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46310</v>
      </c>
      <c r="F194" t="inlineStr">
        <is>
          <t>VÄSTRA GÖTALANDS LÄN</t>
        </is>
      </c>
      <c r="G194" t="inlineStr">
        <is>
          <t>SKÖVDE</t>
        </is>
      </c>
      <c r="H194" t="inlineStr">
        <is>
          <t>Övriga statliga verk och myndigheter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46310</v>
      </c>
      <c r="F195" t="inlineStr">
        <is>
          <t>VÄSTRA GÖTALANDS LÄN</t>
        </is>
      </c>
      <c r="G195" t="inlineStr">
        <is>
          <t>SKÖVDE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46310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46310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45013</v>
      </c>
      <c r="E198" s="1" t="n">
        <v>46310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46310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45086</v>
      </c>
      <c r="E200" s="1" t="n">
        <v>46310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13669-2023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45006</v>
      </c>
      <c r="E201" s="1" t="n">
        <v>46310</v>
      </c>
      <c r="F201" t="inlineStr">
        <is>
          <t>VÄSTRA GÖTALANDS LÄN</t>
        </is>
      </c>
      <c r="G201" t="inlineStr">
        <is>
          <t>SKÖVDE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46310</v>
      </c>
      <c r="F202" t="inlineStr">
        <is>
          <t>VÄSTRA GÖTALANDS LÄN</t>
        </is>
      </c>
      <c r="G202" t="inlineStr">
        <is>
          <t>SKÖVDE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62269-2023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45267</v>
      </c>
      <c r="E203" s="1" t="n">
        <v>46310</v>
      </c>
      <c r="F203" t="inlineStr">
        <is>
          <t>VÄSTRA GÖTALANDS LÄN</t>
        </is>
      </c>
      <c r="G203" t="inlineStr">
        <is>
          <t>SKÖVDE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2901-2026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46038</v>
      </c>
      <c r="E204" s="1" t="n">
        <v>46310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46310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45076</v>
      </c>
      <c r="E206" s="1" t="n">
        <v>46310</v>
      </c>
      <c r="F206" t="inlineStr">
        <is>
          <t>VÄSTRA GÖTALANDS LÄN</t>
        </is>
      </c>
      <c r="G206" t="inlineStr">
        <is>
          <t>SKÖVDE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24914-2026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46310</v>
      </c>
      <c r="F207" t="inlineStr">
        <is>
          <t>VÄSTRA GÖTALANDS LÄN</t>
        </is>
      </c>
      <c r="G207" t="inlineStr">
        <is>
          <t>SKÖVDE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46310</v>
      </c>
      <c r="F208" t="inlineStr">
        <is>
          <t>VÄSTRA GÖTALANDS LÄN</t>
        </is>
      </c>
      <c r="G208" t="inlineStr">
        <is>
          <t>SKÖVDE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44599</v>
      </c>
      <c r="E209" s="1" t="n">
        <v>46310</v>
      </c>
      <c r="F209" t="inlineStr">
        <is>
          <t>VÄSTRA GÖTALANDS LÄN</t>
        </is>
      </c>
      <c r="G209" t="inlineStr">
        <is>
          <t>SKÖVDE</t>
        </is>
      </c>
      <c r="H209" t="inlineStr">
        <is>
          <t>Kyrkan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29217-2022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44750</v>
      </c>
      <c r="E210" s="1" t="n">
        <v>46310</v>
      </c>
      <c r="F210" t="inlineStr">
        <is>
          <t>VÄSTRA GÖTALANDS LÄN</t>
        </is>
      </c>
      <c r="G210" t="inlineStr">
        <is>
          <t>SKÖVDE</t>
        </is>
      </c>
      <c r="H210" t="inlineStr">
        <is>
          <t>Kommuner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46310</v>
      </c>
      <c r="F211" t="inlineStr">
        <is>
          <t>VÄSTRA GÖTALANDS LÄN</t>
        </is>
      </c>
      <c r="G211" t="inlineStr">
        <is>
          <t>SKÖVDE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46310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46310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46310</v>
      </c>
      <c r="F214" t="inlineStr">
        <is>
          <t>VÄSTRA GÖTALANDS LÄN</t>
        </is>
      </c>
      <c r="G214" t="inlineStr">
        <is>
          <t>SKÖVDE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26914-2026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46185</v>
      </c>
      <c r="E215" s="1" t="n">
        <v>46310</v>
      </c>
      <c r="F215" t="inlineStr">
        <is>
          <t>VÄSTRA GÖTALANDS LÄN</t>
        </is>
      </c>
      <c r="G215" t="inlineStr">
        <is>
          <t>SKÖVDE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45314</v>
      </c>
      <c r="E216" s="1" t="n">
        <v>46310</v>
      </c>
      <c r="F216" t="inlineStr">
        <is>
          <t>VÄSTRA GÖTALANDS LÄN</t>
        </is>
      </c>
      <c r="G216" t="inlineStr">
        <is>
          <t>SKÖVDE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46310</v>
      </c>
      <c r="F217" t="inlineStr">
        <is>
          <t>VÄSTRA GÖTALANDS LÄN</t>
        </is>
      </c>
      <c r="G217" t="inlineStr">
        <is>
          <t>SKÖVDE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46310</v>
      </c>
      <c r="F218" t="inlineStr">
        <is>
          <t>VÄSTRA GÖTALANDS LÄN</t>
        </is>
      </c>
      <c r="G218" t="inlineStr">
        <is>
          <t>SKÖVDE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29177-2026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46310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44820</v>
      </c>
      <c r="E220" s="1" t="n">
        <v>46310</v>
      </c>
      <c r="F220" t="inlineStr">
        <is>
          <t>VÄSTRA GÖTALANDS LÄN</t>
        </is>
      </c>
      <c r="G220" t="inlineStr">
        <is>
          <t>SKÖVDE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45299</v>
      </c>
      <c r="E221" s="1" t="n">
        <v>46310</v>
      </c>
      <c r="F221" t="inlineStr">
        <is>
          <t>VÄSTRA GÖTALANDS LÄN</t>
        </is>
      </c>
      <c r="G221" t="inlineStr">
        <is>
          <t>SKÖVDE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46310</v>
      </c>
      <c r="F222" t="inlineStr">
        <is>
          <t>VÄSTRA GÖTALANDS LÄN</t>
        </is>
      </c>
      <c r="G222" t="inlineStr">
        <is>
          <t>SKÖVDE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40374-2023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45169</v>
      </c>
      <c r="E223" s="1" t="n">
        <v>46310</v>
      </c>
      <c r="F223" t="inlineStr">
        <is>
          <t>VÄSTRA GÖTALANDS LÄN</t>
        </is>
      </c>
      <c r="G223" t="inlineStr">
        <is>
          <t>SKÖVDE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26733-2023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45093</v>
      </c>
      <c r="E224" s="1" t="n">
        <v>46310</v>
      </c>
      <c r="F224" t="inlineStr">
        <is>
          <t>VÄSTRA GÖTALANDS LÄN</t>
        </is>
      </c>
      <c r="G224" t="inlineStr">
        <is>
          <t>SKÖVDE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48225-2024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45590</v>
      </c>
      <c r="E225" s="1" t="n">
        <v>46310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36485-2026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46269</v>
      </c>
      <c r="E226" s="1" t="n">
        <v>46310</v>
      </c>
      <c r="F226" t="inlineStr">
        <is>
          <t>VÄSTRA GÖTALANDS LÄN</t>
        </is>
      </c>
      <c r="G226" t="inlineStr">
        <is>
          <t>SKÖVDE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45586</v>
      </c>
      <c r="E227" s="1" t="n">
        <v>46310</v>
      </c>
      <c r="F227" t="inlineStr">
        <is>
          <t>VÄSTRA GÖTALANDS LÄN</t>
        </is>
      </c>
      <c r="G227" t="inlineStr">
        <is>
          <t>SKÖVDE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36665-2026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46272</v>
      </c>
      <c r="E228" s="1" t="n">
        <v>46310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46310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4600-2025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45687</v>
      </c>
      <c r="E230" s="1" t="n">
        <v>46310</v>
      </c>
      <c r="F230" t="inlineStr">
        <is>
          <t>VÄSTRA GÖTALANDS LÄN</t>
        </is>
      </c>
      <c r="G230" t="inlineStr">
        <is>
          <t>SKÖVDE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45138</v>
      </c>
      <c r="E231" s="1" t="n">
        <v>46310</v>
      </c>
      <c r="F231" t="inlineStr">
        <is>
          <t>VÄSTRA GÖTALANDS LÄN</t>
        </is>
      </c>
      <c r="G231" t="inlineStr">
        <is>
          <t>SKÖVDE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46283</v>
      </c>
      <c r="E232" s="1" t="n">
        <v>46310</v>
      </c>
      <c r="F232" t="inlineStr">
        <is>
          <t>VÄSTRA GÖTALANDS LÄN</t>
        </is>
      </c>
      <c r="G232" t="inlineStr">
        <is>
          <t>SKÖVDE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45134</v>
      </c>
      <c r="E233" s="1" t="n">
        <v>46310</v>
      </c>
      <c r="F233" t="inlineStr">
        <is>
          <t>VÄSTRA GÖTALANDS LÄN</t>
        </is>
      </c>
      <c r="G233" t="inlineStr">
        <is>
          <t>SKÖVDE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46310</v>
      </c>
      <c r="F234" t="inlineStr">
        <is>
          <t>VÄSTRA GÖTALANDS LÄN</t>
        </is>
      </c>
      <c r="G234" t="inlineStr">
        <is>
          <t>SKÖVDE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17798-2024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45418</v>
      </c>
      <c r="E235" s="1" t="n">
        <v>46310</v>
      </c>
      <c r="F235" t="inlineStr">
        <is>
          <t>VÄSTRA GÖTALANDS LÄN</t>
        </is>
      </c>
      <c r="G235" t="inlineStr">
        <is>
          <t>SKÖVDE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46310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46288</v>
      </c>
      <c r="E237" s="1" t="n">
        <v>46310</v>
      </c>
      <c r="F237" t="inlineStr">
        <is>
          <t>VÄSTRA GÖTALANDS LÄN</t>
        </is>
      </c>
      <c r="G237" t="inlineStr">
        <is>
          <t>SKÖVDE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38048-2022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44811</v>
      </c>
      <c r="E238" s="1" t="n">
        <v>46310</v>
      </c>
      <c r="F238" t="inlineStr">
        <is>
          <t>VÄSTRA GÖTALANDS LÄN</t>
        </is>
      </c>
      <c r="G238" t="inlineStr">
        <is>
          <t>SKÖVDE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46293</v>
      </c>
      <c r="E239" s="1" t="n">
        <v>46310</v>
      </c>
      <c r="F239" t="inlineStr">
        <is>
          <t>VÄSTRA GÖTALANDS LÄN</t>
        </is>
      </c>
      <c r="G239" t="inlineStr">
        <is>
          <t>SKÖVDE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46310</v>
      </c>
      <c r="F240" t="inlineStr">
        <is>
          <t>VÄSTRA GÖTALANDS LÄN</t>
        </is>
      </c>
      <c r="G240" t="inlineStr">
        <is>
          <t>SKÖVDE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45210</v>
      </c>
      <c r="E241" s="1" t="n">
        <v>46310</v>
      </c>
      <c r="F241" t="inlineStr">
        <is>
          <t>VÄSTRA GÖTALANDS LÄN</t>
        </is>
      </c>
      <c r="G241" t="inlineStr">
        <is>
          <t>SKÖVDE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45002</v>
      </c>
      <c r="E242" s="1" t="n">
        <v>46310</v>
      </c>
      <c r="F242" t="inlineStr">
        <is>
          <t>VÄSTRA GÖTALANDS LÄN</t>
        </is>
      </c>
      <c r="G242" t="inlineStr">
        <is>
          <t>SKÖVDE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46310</v>
      </c>
      <c r="F243" t="inlineStr">
        <is>
          <t>VÄSTRA GÖTALANDS LÄN</t>
        </is>
      </c>
      <c r="G243" t="inlineStr">
        <is>
          <t>SKÖVDE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45706</v>
      </c>
      <c r="E244" s="1" t="n">
        <v>46310</v>
      </c>
      <c r="F244" t="inlineStr">
        <is>
          <t>VÄSTRA GÖTALANDS LÄN</t>
        </is>
      </c>
      <c r="G244" t="inlineStr">
        <is>
          <t>SKÖVDE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44825</v>
      </c>
      <c r="E245" s="1" t="n">
        <v>46310</v>
      </c>
      <c r="F245" t="inlineStr">
        <is>
          <t>VÄSTRA GÖTALANDS LÄN</t>
        </is>
      </c>
      <c r="G245" t="inlineStr">
        <is>
          <t>SKÖVDE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48338-2024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45590</v>
      </c>
      <c r="E246" s="1" t="n">
        <v>46310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44804</v>
      </c>
      <c r="E247" s="1" t="n">
        <v>46310</v>
      </c>
      <c r="F247" t="inlineStr">
        <is>
          <t>VÄSTRA GÖTALANDS LÄN</t>
        </is>
      </c>
      <c r="G247" t="inlineStr">
        <is>
          <t>SKÖVDE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46310</v>
      </c>
      <c r="F248" t="inlineStr">
        <is>
          <t>VÄSTRA GÖTALANDS LÄN</t>
        </is>
      </c>
      <c r="G248" t="inlineStr">
        <is>
          <t>SKÖVDE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45306</v>
      </c>
      <c r="E249" s="1" t="n">
        <v>46310</v>
      </c>
      <c r="F249" t="inlineStr">
        <is>
          <t>VÄSTRA GÖTALANDS LÄN</t>
        </is>
      </c>
      <c r="G249" t="inlineStr">
        <is>
          <t>SKÖVDE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46310</v>
      </c>
      <c r="F250" t="inlineStr">
        <is>
          <t>VÄSTRA GÖTALANDS LÄN</t>
        </is>
      </c>
      <c r="G250" t="inlineStr">
        <is>
          <t>SKÖVDE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45315</v>
      </c>
      <c r="E251" s="1" t="n">
        <v>46310</v>
      </c>
      <c r="F251" t="inlineStr">
        <is>
          <t>VÄSTRA GÖTALANDS LÄN</t>
        </is>
      </c>
      <c r="G251" t="inlineStr">
        <is>
          <t>SKÖVDE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46310</v>
      </c>
      <c r="F252" t="inlineStr">
        <is>
          <t>VÄSTRA GÖTALANDS LÄN</t>
        </is>
      </c>
      <c r="G252" t="inlineStr">
        <is>
          <t>SKÖVDE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46310</v>
      </c>
      <c r="F253" t="inlineStr">
        <is>
          <t>VÄSTRA GÖTALANDS LÄN</t>
        </is>
      </c>
      <c r="G253" t="inlineStr">
        <is>
          <t>SKÖVDE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46310</v>
      </c>
      <c r="F254" t="inlineStr">
        <is>
          <t>VÄSTRA GÖTALANDS LÄN</t>
        </is>
      </c>
      <c r="G254" t="inlineStr">
        <is>
          <t>SKÖVDE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46310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45743</v>
      </c>
      <c r="E256" s="1" t="n">
        <v>46310</v>
      </c>
      <c r="F256" t="inlineStr">
        <is>
          <t>VÄSTRA GÖTALANDS LÄN</t>
        </is>
      </c>
      <c r="G256" t="inlineStr">
        <is>
          <t>SKÖVDE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45710</v>
      </c>
      <c r="E257" s="1" t="n">
        <v>46310</v>
      </c>
      <c r="F257" t="inlineStr">
        <is>
          <t>VÄSTRA GÖTALANDS LÄN</t>
        </is>
      </c>
      <c r="G257" t="inlineStr">
        <is>
          <t>SKÖVDE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23487-2025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45792</v>
      </c>
      <c r="E258" s="1" t="n">
        <v>46310</v>
      </c>
      <c r="F258" t="inlineStr">
        <is>
          <t>VÄSTRA GÖTALANDS LÄN</t>
        </is>
      </c>
      <c r="G258" t="inlineStr">
        <is>
          <t>SKÖVDE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46310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46310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2026-10-15T02:04:08Z</dcterms:created>
  <dcterms:modified xmlns:dcterms="http://purl.org/dc/terms/" xmlns:xsi="http://www.w3.org/2001/XMLSchema-instance" xsi:type="dcterms:W3CDTF">2026-10-15T02:04:08Z</dcterms:modified>
</cp:coreProperties>
</file>