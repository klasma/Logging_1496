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46275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46275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46275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46275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46275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46275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46275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46275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46275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46275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46275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46275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46275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13517-2024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45387</v>
      </c>
      <c r="E15" s="1" t="n">
        <v>46275</v>
      </c>
      <c r="F15" t="inlineStr">
        <is>
          <t>VÄSTRA GÖTALANDS LÄN</t>
        </is>
      </c>
      <c r="G15" t="inlineStr">
        <is>
          <t>SKÖVDE</t>
        </is>
      </c>
      <c r="I15" t="n">
        <v>4.4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Slåttergubbe
Jordtistel
Klasefibbla
Grönvit nattviol</t>
        </is>
      </c>
      <c r="W15">
        <f>HYPERLINK("https://klasma.github.io/Logging_1496/artfynd/A 13517-2024 artfynd.xlsx", "A 13517-2024")</f>
        <v/>
      </c>
      <c r="X15">
        <f>HYPERLINK("https://klasma.github.io/Logging_1496/kartor/A 13517-2024 karta.png", "A 13517-2024")</f>
        <v/>
      </c>
      <c r="Y15">
        <f>HYPERLINK("https://klasma.github.io/Logging_1496/kartor_geotiff/A 13517-2024 georefererad karta.tif", "A 13517-2024")</f>
        <v/>
      </c>
      <c r="AA15">
        <f>HYPERLINK("https://klasma.github.io/Logging_1496/klagomål/A 13517-2024 FSC-klagomål.docx", "A 13517-2024")</f>
        <v/>
      </c>
      <c r="AB15">
        <f>HYPERLINK("https://klasma.github.io/Logging_1496/klagomålsmail/A 13517-2024 FSC-klagomål mail.docx", "A 13517-2024")</f>
        <v/>
      </c>
      <c r="AC15">
        <f>HYPERLINK("https://klasma.github.io/Logging_1496/tillsyn/A 13517-2024 tillsynsbegäran.docx", "A 13517-2024")</f>
        <v/>
      </c>
      <c r="AD15">
        <f>HYPERLINK("https://klasma.github.io/Logging_1496/tillsynsmail/A 13517-2024 tillsynsbegäran mail.docx", "A 13517-2024")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46275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46275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46275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46275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2579-2023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46275</v>
      </c>
      <c r="F20" t="inlineStr">
        <is>
          <t>VÄSTRA GÖTALANDS LÄN</t>
        </is>
      </c>
      <c r="G20" t="inlineStr">
        <is>
          <t>SKÖVDE</t>
        </is>
      </c>
      <c r="I20" t="n">
        <v>5.3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Skogsknipprot
Svart trolldruva
Fläcknycklar</t>
        </is>
      </c>
      <c r="W20">
        <f>HYPERLINK("https://klasma.github.io/Logging_1496/artfynd/A 2579-2023 artfynd.xlsx", "A 2579-2023")</f>
        <v/>
      </c>
      <c r="X20">
        <f>HYPERLINK("https://klasma.github.io/Logging_1496/kartor/A 2579-2023 karta.png", "A 2579-2023")</f>
        <v/>
      </c>
      <c r="Y20">
        <f>HYPERLINK("https://klasma.github.io/Logging_1496/kartor_geotiff/A 2579-2023 georefererad karta.tif", "A 2579-2023")</f>
        <v/>
      </c>
      <c r="AA20">
        <f>HYPERLINK("https://klasma.github.io/Logging_1496/klagomål/A 2579-2023 FSC-klagomål.docx", "A 2579-2023")</f>
        <v/>
      </c>
      <c r="AB20">
        <f>HYPERLINK("https://klasma.github.io/Logging_1496/klagomålsmail/A 2579-2023 FSC-klagomål mail.docx", "A 2579-2023")</f>
        <v/>
      </c>
      <c r="AC20">
        <f>HYPERLINK("https://klasma.github.io/Logging_1496/tillsyn/A 2579-2023 tillsynsbegäran.docx", "A 2579-2023")</f>
        <v/>
      </c>
      <c r="AD20">
        <f>HYPERLINK("https://klasma.github.io/Logging_1496/tillsynsmail/A 2579-2023 tillsynsbegäran mail.docx", "A 2579-2023")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46275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46275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46275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46275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46275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46275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60172-2021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46275</v>
      </c>
      <c r="F27" t="inlineStr">
        <is>
          <t>VÄSTRA GÖTALANDS LÄN</t>
        </is>
      </c>
      <c r="G27" t="inlineStr">
        <is>
          <t>SKÖVDE</t>
        </is>
      </c>
      <c r="I27" t="n">
        <v>1.4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Skogsbräsma
Fläcknycklar</t>
        </is>
      </c>
      <c r="W27">
        <f>HYPERLINK("https://klasma.github.io/Logging_1496/artfynd/A 60172-2021 artfynd.xlsx", "A 60172-2021")</f>
        <v/>
      </c>
      <c r="X27">
        <f>HYPERLINK("https://klasma.github.io/Logging_1496/kartor/A 60172-2021 karta.png", "A 60172-2021")</f>
        <v/>
      </c>
      <c r="Y27">
        <f>HYPERLINK("https://klasma.github.io/Logging_1496/kartor_geotiff/A 60172-2021 georefererad karta.tif", "A 60172-2021")</f>
        <v/>
      </c>
      <c r="AA27">
        <f>HYPERLINK("https://klasma.github.io/Logging_1496/klagomål/A 60172-2021 FSC-klagomål.docx", "A 60172-2021")</f>
        <v/>
      </c>
      <c r="AB27">
        <f>HYPERLINK("https://klasma.github.io/Logging_1496/klagomålsmail/A 60172-2021 FSC-klagomål mail.docx", "A 60172-2021")</f>
        <v/>
      </c>
      <c r="AC27">
        <f>HYPERLINK("https://klasma.github.io/Logging_1496/tillsyn/A 60172-2021 tillsynsbegäran.docx", "A 60172-2021")</f>
        <v/>
      </c>
      <c r="AD27">
        <f>HYPERLINK("https://klasma.github.io/Logging_1496/tillsynsmail/A 60172-2021 tillsynsbegäran mail.docx", "A 60172-2021")</f>
        <v/>
      </c>
    </row>
    <row r="28" ht="15" customHeight="1">
      <c r="A28" t="inlineStr">
        <is>
          <t>A 10610-2023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44988</v>
      </c>
      <c r="E28" s="1" t="n">
        <v>46275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Vanlig groda
Revlummer</t>
        </is>
      </c>
      <c r="W28">
        <f>HYPERLINK("https://klasma.github.io/Logging_1496/artfynd/A 10610-2023 artfynd.xlsx", "A 10610-2023")</f>
        <v/>
      </c>
      <c r="X28">
        <f>HYPERLINK("https://klasma.github.io/Logging_1496/kartor/A 10610-2023 karta.png", "A 10610-2023")</f>
        <v/>
      </c>
      <c r="Y28">
        <f>HYPERLINK("https://klasma.github.io/Logging_1496/kartor_geotiff/A 10610-2023 georefererad karta.tif", "A 10610-2023")</f>
        <v/>
      </c>
      <c r="AA28">
        <f>HYPERLINK("https://klasma.github.io/Logging_1496/klagomål/A 10610-2023 FSC-klagomål.docx", "A 10610-2023")</f>
        <v/>
      </c>
      <c r="AB28">
        <f>HYPERLINK("https://klasma.github.io/Logging_1496/klagomålsmail/A 10610-2023 FSC-klagomål mail.docx", "A 10610-2023")</f>
        <v/>
      </c>
      <c r="AC28">
        <f>HYPERLINK("https://klasma.github.io/Logging_1496/tillsyn/A 10610-2023 tillsynsbegäran.docx", "A 10610-2023")</f>
        <v/>
      </c>
      <c r="AD28">
        <f>HYPERLINK("https://klasma.github.io/Logging_1496/tillsynsmail/A 10610-2023 tillsynsbegäran mail.docx", "A 10610-2023")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46275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22268-2025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46275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2</v>
      </c>
      <c r="V30" s="2" t="inlineStr">
        <is>
          <t>Knärot
Motaggsvamp</t>
        </is>
      </c>
      <c r="W30">
        <f>HYPERLINK("https://klasma.github.io/Logging_1496/artfynd/A 22268-2025 artfynd.xlsx", "A 22268-2025")</f>
        <v/>
      </c>
      <c r="X30">
        <f>HYPERLINK("https://klasma.github.io/Logging_1496/kartor/A 22268-2025 karta.png", "A 22268-2025")</f>
        <v/>
      </c>
      <c r="Y30">
        <f>HYPERLINK("https://klasma.github.io/Logging_1496/kartor_geotiff/A 22268-2025 georefererad karta.tif", "A 22268-2025")</f>
        <v/>
      </c>
      <c r="Z30">
        <f>HYPERLINK("https://klasma.github.io/Logging_1496/knärot/A 22268-2025 karta knärot.png", "A 22268-2025")</f>
        <v/>
      </c>
      <c r="AA30">
        <f>HYPERLINK("https://klasma.github.io/Logging_1496/klagomål/A 22268-2025 FSC-klagomål.docx", "A 22268-2025")</f>
        <v/>
      </c>
      <c r="AB30">
        <f>HYPERLINK("https://klasma.github.io/Logging_1496/klagomålsmail/A 22268-2025 FSC-klagomål mail.docx", "A 22268-2025")</f>
        <v/>
      </c>
      <c r="AC30">
        <f>HYPERLINK("https://klasma.github.io/Logging_1496/tillsyn/A 22268-2025 tillsynsbegäran.docx", "A 22268-2025")</f>
        <v/>
      </c>
      <c r="AD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46275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46275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27109-2024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46275</v>
      </c>
      <c r="F33" t="inlineStr">
        <is>
          <t>VÄSTRA GÖTALANDS LÄN</t>
        </is>
      </c>
      <c r="G33" t="inlineStr">
        <is>
          <t>SKÖVDE</t>
        </is>
      </c>
      <c r="I33" t="n">
        <v>2.7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Backstarr
Jungfrulin</t>
        </is>
      </c>
      <c r="W33">
        <f>HYPERLINK("https://klasma.github.io/Logging_1496/artfynd/A 27109-2024 artfynd.xlsx", "A 27109-2024")</f>
        <v/>
      </c>
      <c r="X33">
        <f>HYPERLINK("https://klasma.github.io/Logging_1496/kartor/A 27109-2024 karta.png", "A 27109-2024")</f>
        <v/>
      </c>
      <c r="Y33">
        <f>HYPERLINK("https://klasma.github.io/Logging_1496/kartor_geotiff/A 27109-2024 georefererad karta.tif", "A 27109-2024")</f>
        <v/>
      </c>
      <c r="AA33">
        <f>HYPERLINK("https://klasma.github.io/Logging_1496/klagomål/A 27109-2024 FSC-klagomål.docx", "A 27109-2024")</f>
        <v/>
      </c>
      <c r="AB33">
        <f>HYPERLINK("https://klasma.github.io/Logging_1496/klagomålsmail/A 27109-2024 FSC-klagomål mail.docx", "A 27109-2024")</f>
        <v/>
      </c>
      <c r="AC33">
        <f>HYPERLINK("https://klasma.github.io/Logging_1496/tillsyn/A 27109-2024 tillsynsbegäran.docx", "A 27109-2024")</f>
        <v/>
      </c>
      <c r="AD33">
        <f>HYPERLINK("https://klasma.github.io/Logging_1496/tillsynsmail/A 27109-2024 tillsynsbegäran mail.docx", "A 27109-2024")</f>
        <v/>
      </c>
    </row>
    <row r="34" ht="15" customHeight="1">
      <c r="A34" t="inlineStr">
        <is>
          <t>A 42017-2025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45903</v>
      </c>
      <c r="E34" s="1" t="n">
        <v>46275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Borsttåg
Mattlummer</t>
        </is>
      </c>
      <c r="W34">
        <f>HYPERLINK("https://klasma.github.io/Logging_1496/artfynd/A 42017-2025 artfynd.xlsx", "A 42017-2025")</f>
        <v/>
      </c>
      <c r="X34">
        <f>HYPERLINK("https://klasma.github.io/Logging_1496/kartor/A 42017-2025 karta.png", "A 42017-2025")</f>
        <v/>
      </c>
      <c r="Y34">
        <f>HYPERLINK("https://klasma.github.io/Logging_1496/kartor_geotiff/A 42017-2025 georefererad karta.tif", "A 42017-2025")</f>
        <v/>
      </c>
      <c r="AA34">
        <f>HYPERLINK("https://klasma.github.io/Logging_1496/klagomål/A 42017-2025 FSC-klagomål.docx", "A 42017-2025")</f>
        <v/>
      </c>
      <c r="AB34">
        <f>HYPERLINK("https://klasma.github.io/Logging_1496/klagomålsmail/A 42017-2025 FSC-klagomål mail.docx", "A 42017-2025")</f>
        <v/>
      </c>
      <c r="AC34">
        <f>HYPERLINK("https://klasma.github.io/Logging_1496/tillsyn/A 42017-2025 tillsynsbegäran.docx", "A 42017-2025")</f>
        <v/>
      </c>
      <c r="AD34">
        <f>HYPERLINK("https://klasma.github.io/Logging_1496/tillsynsmail/A 42017-2025 tillsynsbegäran mail.docx", "A 42017-2025")</f>
        <v/>
      </c>
    </row>
    <row r="35" ht="15" customHeight="1">
      <c r="A35" t="inlineStr">
        <is>
          <t>A 55642-2025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45972</v>
      </c>
      <c r="E35" s="1" t="n">
        <v>46275</v>
      </c>
      <c r="F35" t="inlineStr">
        <is>
          <t>VÄSTRA GÖTALANDS LÄN</t>
        </is>
      </c>
      <c r="G35" t="inlineStr">
        <is>
          <t>SKÖVDE</t>
        </is>
      </c>
      <c r="I35" t="n">
        <v>1.6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HYPERLINK("https://klasma.github.io/Logging_1496/artfynd/A 55642-2025 artfynd.xlsx", "A 55642-2025")</f>
        <v/>
      </c>
      <c r="X35">
        <f>HYPERLINK("https://klasma.github.io/Logging_1496/kartor/A 55642-2025 karta.png", "A 55642-2025")</f>
        <v/>
      </c>
      <c r="Y35">
        <f>HYPERLINK("https://klasma.github.io/Logging_1496/kartor_geotiff/A 55642-2025 georefererad karta.tif", "A 55642-2025")</f>
        <v/>
      </c>
      <c r="AA35">
        <f>HYPERLINK("https://klasma.github.io/Logging_1496/klagomål/A 55642-2025 FSC-klagomål.docx", "A 55642-2025")</f>
        <v/>
      </c>
      <c r="AB35">
        <f>HYPERLINK("https://klasma.github.io/Logging_1496/klagomålsmail/A 55642-2025 FSC-klagomål mail.docx", "A 55642-2025")</f>
        <v/>
      </c>
      <c r="AC35">
        <f>HYPERLINK("https://klasma.github.io/Logging_1496/tillsyn/A 55642-2025 tillsynsbegäran.docx", "A 55642-2025")</f>
        <v/>
      </c>
      <c r="AD35">
        <f>HYPERLINK("https://klasma.github.io/Logging_1496/tillsynsmail/A 55642-2025 tillsynsbegäran mail.docx", "A 55642-2025")</f>
        <v/>
      </c>
    </row>
    <row r="36" ht="15" customHeight="1">
      <c r="A36" t="inlineStr">
        <is>
          <t>A 29222-2022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44750</v>
      </c>
      <c r="E36" s="1" t="n">
        <v>46275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Lundbräsma
Strutbräken</t>
        </is>
      </c>
      <c r="W36">
        <f>HYPERLINK("https://klasma.github.io/Logging_1496/artfynd/A 29222-2022 artfynd.xlsx", "A 29222-2022")</f>
        <v/>
      </c>
      <c r="X36">
        <f>HYPERLINK("https://klasma.github.io/Logging_1496/kartor/A 29222-2022 karta.png", "A 29222-2022")</f>
        <v/>
      </c>
      <c r="Y36">
        <f>HYPERLINK("https://klasma.github.io/Logging_1496/kartor_geotiff/A 29222-2022 georefererad karta.tif", "A 29222-2022")</f>
        <v/>
      </c>
      <c r="AA36">
        <f>HYPERLINK("https://klasma.github.io/Logging_1496/klagomål/A 29222-2022 FSC-klagomål.docx", "A 29222-2022")</f>
        <v/>
      </c>
      <c r="AB36">
        <f>HYPERLINK("https://klasma.github.io/Logging_1496/klagomålsmail/A 29222-2022 FSC-klagomål mail.docx", "A 29222-2022")</f>
        <v/>
      </c>
      <c r="AC36">
        <f>HYPERLINK("https://klasma.github.io/Logging_1496/tillsyn/A 29222-2022 tillsynsbegäran.docx", "A 29222-2022")</f>
        <v/>
      </c>
      <c r="AD36">
        <f>HYPERLINK("https://klasma.github.io/Logging_1496/tillsynsmail/A 29222-2022 tillsynsbegäran mail.docx", "A 29222-2022")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46275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46275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46275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46275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46275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61213-2024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46275</v>
      </c>
      <c r="F42" t="inlineStr">
        <is>
          <t>VÄSTRA GÖTALANDS LÄN</t>
        </is>
      </c>
      <c r="G42" t="inlineStr">
        <is>
          <t>SKÖVDE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Skogsbräsma</t>
        </is>
      </c>
      <c r="W42">
        <f>HYPERLINK("https://klasma.github.io/Logging_1496/artfynd/A 61213-2024 artfynd.xlsx", "A 61213-2024")</f>
        <v/>
      </c>
      <c r="X42">
        <f>HYPERLINK("https://klasma.github.io/Logging_1496/kartor/A 61213-2024 karta.png", "A 61213-2024")</f>
        <v/>
      </c>
      <c r="Y42">
        <f>HYPERLINK("https://klasma.github.io/Logging_1496/kartor_geotiff/A 61213-2024 georefererad karta.tif", "A 61213-2024")</f>
        <v/>
      </c>
      <c r="AA42">
        <f>HYPERLINK("https://klasma.github.io/Logging_1496/klagomål/A 61213-2024 FSC-klagomål.docx", "A 61213-2024")</f>
        <v/>
      </c>
      <c r="AB42">
        <f>HYPERLINK("https://klasma.github.io/Logging_1496/klagomålsmail/A 61213-2024 FSC-klagomål mail.docx", "A 61213-2024")</f>
        <v/>
      </c>
      <c r="AC42">
        <f>HYPERLINK("https://klasma.github.io/Logging_1496/tillsyn/A 61213-2024 tillsynsbegäran.docx", "A 61213-2024")</f>
        <v/>
      </c>
      <c r="AD42">
        <f>HYPERLINK("https://klasma.github.io/Logging_1496/tillsynsmail/A 61213-2024 tillsynsbegäran mail.docx", "A 61213-2024")</f>
        <v/>
      </c>
    </row>
    <row r="43" ht="15" customHeight="1">
      <c r="A43" t="inlineStr">
        <is>
          <t>A 35919-2023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46275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HYPERLINK("https://klasma.github.io/Logging_1496/artfynd/A 35919-2023 artfynd.xlsx", "A 35919-2023")</f>
        <v/>
      </c>
      <c r="X43">
        <f>HYPERLINK("https://klasma.github.io/Logging_1496/kartor/A 35919-2023 karta.png", "A 35919-2023")</f>
        <v/>
      </c>
      <c r="Y43">
        <f>HYPERLINK("https://klasma.github.io/Logging_1496/kartor_geotiff/A 35919-2023 georefererad karta.tif", "A 35919-2023")</f>
        <v/>
      </c>
      <c r="AA43">
        <f>HYPERLINK("https://klasma.github.io/Logging_1496/klagomål/A 35919-2023 FSC-klagomål.docx", "A 35919-2023")</f>
        <v/>
      </c>
      <c r="AB43">
        <f>HYPERLINK("https://klasma.github.io/Logging_1496/klagomålsmail/A 35919-2023 FSC-klagomål mail.docx", "A 35919-2023")</f>
        <v/>
      </c>
      <c r="AC43">
        <f>HYPERLINK("https://klasma.github.io/Logging_1496/tillsyn/A 35919-2023 tillsynsbegäran.docx", "A 35919-2023")</f>
        <v/>
      </c>
      <c r="AD43">
        <f>HYPERLINK("https://klasma.github.io/Logging_1496/tillsynsmail/A 35919-2023 tillsynsbegäran mail.docx", "A 35919-2023")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46275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42904-2023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46275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HYPERLINK("https://klasma.github.io/Logging_1496/artfynd/A 42904-2023 artfynd.xlsx", "A 42904-2023")</f>
        <v/>
      </c>
      <c r="X45">
        <f>HYPERLINK("https://klasma.github.io/Logging_1496/kartor/A 42904-2023 karta.png", "A 42904-2023")</f>
        <v/>
      </c>
      <c r="Y45">
        <f>HYPERLINK("https://klasma.github.io/Logging_1496/kartor_geotiff/A 42904-2023 georefererad karta.tif", "A 42904-2023")</f>
        <v/>
      </c>
      <c r="AA45">
        <f>HYPERLINK("https://klasma.github.io/Logging_1496/klagomål/A 42904-2023 FSC-klagomål.docx", "A 42904-2023")</f>
        <v/>
      </c>
      <c r="AB45">
        <f>HYPERLINK("https://klasma.github.io/Logging_1496/klagomålsmail/A 42904-2023 FSC-klagomål mail.docx", "A 42904-2023")</f>
        <v/>
      </c>
      <c r="AC45">
        <f>HYPERLINK("https://klasma.github.io/Logging_1496/tillsyn/A 42904-2023 tillsynsbegäran.docx", "A 42904-2023")</f>
        <v/>
      </c>
      <c r="AD45">
        <f>HYPERLINK("https://klasma.github.io/Logging_1496/tillsynsmail/A 42904-2023 tillsynsbegäran mail.docx", "A 42904-2023")</f>
        <v/>
      </c>
    </row>
    <row r="46" ht="15" customHeight="1">
      <c r="A46" t="inlineStr">
        <is>
          <t>A 29011-2023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45104</v>
      </c>
      <c r="E46" s="1" t="n">
        <v>46275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5.4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Skogsbräsma</t>
        </is>
      </c>
      <c r="W46">
        <f>HYPERLINK("https://klasma.github.io/Logging_1496/artfynd/A 29011-2023 artfynd.xlsx", "A 29011-2023")</f>
        <v/>
      </c>
      <c r="X46">
        <f>HYPERLINK("https://klasma.github.io/Logging_1496/kartor/A 29011-2023 karta.png", "A 29011-2023")</f>
        <v/>
      </c>
      <c r="Y46">
        <f>HYPERLINK("https://klasma.github.io/Logging_1496/kartor_geotiff/A 29011-2023 georefererad karta.tif", "A 29011-2023")</f>
        <v/>
      </c>
      <c r="AA46">
        <f>HYPERLINK("https://klasma.github.io/Logging_1496/klagomål/A 29011-2023 FSC-klagomål.docx", "A 29011-2023")</f>
        <v/>
      </c>
      <c r="AB46">
        <f>HYPERLINK("https://klasma.github.io/Logging_1496/klagomålsmail/A 29011-2023 FSC-klagomål mail.docx", "A 29011-2023")</f>
        <v/>
      </c>
      <c r="AC46">
        <f>HYPERLINK("https://klasma.github.io/Logging_1496/tillsyn/A 29011-2023 tillsynsbegäran.docx", "A 29011-2023")</f>
        <v/>
      </c>
      <c r="AD46">
        <f>HYPERLINK("https://klasma.github.io/Logging_1496/tillsynsmail/A 29011-2023 tillsynsbegäran mail.docx", "A 29011-2023")</f>
        <v/>
      </c>
    </row>
    <row r="47" ht="15" customHeight="1">
      <c r="A47" t="inlineStr">
        <is>
          <t>A 15417-2023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46275</v>
      </c>
      <c r="F47" t="inlineStr">
        <is>
          <t>VÄSTRA GÖTALANDS LÄN</t>
        </is>
      </c>
      <c r="G47" t="inlineStr">
        <is>
          <t>SKÖVDE</t>
        </is>
      </c>
      <c r="I47" t="n">
        <v>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Gullpudra</t>
        </is>
      </c>
      <c r="W47">
        <f>HYPERLINK("https://klasma.github.io/Logging_1496/artfynd/A 15417-2023 artfynd.xlsx", "A 15417-2023")</f>
        <v/>
      </c>
      <c r="X47">
        <f>HYPERLINK("https://klasma.github.io/Logging_1496/kartor/A 15417-2023 karta.png", "A 15417-2023")</f>
        <v/>
      </c>
      <c r="Y47">
        <f>HYPERLINK("https://klasma.github.io/Logging_1496/kartor_geotiff/A 15417-2023 georefererad karta.tif", "A 15417-2023")</f>
        <v/>
      </c>
      <c r="AA47">
        <f>HYPERLINK("https://klasma.github.io/Logging_1496/klagomål/A 15417-2023 FSC-klagomål.docx", "A 15417-2023")</f>
        <v/>
      </c>
      <c r="AB47">
        <f>HYPERLINK("https://klasma.github.io/Logging_1496/klagomålsmail/A 15417-2023 FSC-klagomål mail.docx", "A 15417-2023")</f>
        <v/>
      </c>
      <c r="AC47">
        <f>HYPERLINK("https://klasma.github.io/Logging_1496/tillsyn/A 15417-2023 tillsynsbegäran.docx", "A 15417-2023")</f>
        <v/>
      </c>
      <c r="AD47">
        <f>HYPERLINK("https://klasma.github.io/Logging_1496/tillsynsmail/A 15417-2023 tillsynsbegäran mail.docx", "A 15417-2023")</f>
        <v/>
      </c>
    </row>
    <row r="48" ht="15" customHeight="1">
      <c r="A48" t="inlineStr">
        <is>
          <t>A 10602-2023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44988</v>
      </c>
      <c r="E48" s="1" t="n">
        <v>46275</v>
      </c>
      <c r="F48" t="inlineStr">
        <is>
          <t>VÄSTRA GÖTALANDS LÄN</t>
        </is>
      </c>
      <c r="G48" t="inlineStr">
        <is>
          <t>SKÖVDE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HYPERLINK("https://klasma.github.io/Logging_1496/artfynd/A 10602-2023 artfynd.xlsx", "A 10602-2023")</f>
        <v/>
      </c>
      <c r="X48">
        <f>HYPERLINK("https://klasma.github.io/Logging_1496/kartor/A 10602-2023 karta.png", "A 10602-2023")</f>
        <v/>
      </c>
      <c r="Y48">
        <f>HYPERLINK("https://klasma.github.io/Logging_1496/kartor_geotiff/A 10602-2023 georefererad karta.tif", "A 10602-2023")</f>
        <v/>
      </c>
      <c r="AA48">
        <f>HYPERLINK("https://klasma.github.io/Logging_1496/klagomål/A 10602-2023 FSC-klagomål.docx", "A 10602-2023")</f>
        <v/>
      </c>
      <c r="AB48">
        <f>HYPERLINK("https://klasma.github.io/Logging_1496/klagomålsmail/A 10602-2023 FSC-klagomål mail.docx", "A 10602-2023")</f>
        <v/>
      </c>
      <c r="AC48">
        <f>HYPERLINK("https://klasma.github.io/Logging_1496/tillsyn/A 10602-2023 tillsynsbegäran.docx", "A 10602-2023")</f>
        <v/>
      </c>
      <c r="AD48">
        <f>HYPERLINK("https://klasma.github.io/Logging_1496/tillsynsmail/A 10602-2023 tillsynsbegäran mail.docx", "A 10602-2023")</f>
        <v/>
      </c>
    </row>
    <row r="49" ht="15" customHeight="1">
      <c r="A49" t="inlineStr">
        <is>
          <t>A 3948-2024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46275</v>
      </c>
      <c r="F49" t="inlineStr">
        <is>
          <t>VÄSTRA GÖTALANDS LÄN</t>
        </is>
      </c>
      <c r="G49" t="inlineStr">
        <is>
          <t>SKÖVDE</t>
        </is>
      </c>
      <c r="I49" t="n">
        <v>6.6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3948-2024 artfynd.xlsx", "A 3948-2024")</f>
        <v/>
      </c>
      <c r="X49">
        <f>HYPERLINK("https://klasma.github.io/Logging_1496/kartor/A 3948-2024 karta.png", "A 3948-2024")</f>
        <v/>
      </c>
      <c r="Y49">
        <f>HYPERLINK("https://klasma.github.io/Logging_1496/kartor_geotiff/A 3948-2024 georefererad karta.tif", "A 3948-2024")</f>
        <v/>
      </c>
      <c r="AA49">
        <f>HYPERLINK("https://klasma.github.io/Logging_1496/klagomål/A 3948-2024 FSC-klagomål.docx", "A 3948-2024")</f>
        <v/>
      </c>
      <c r="AB49">
        <f>HYPERLINK("https://klasma.github.io/Logging_1496/klagomålsmail/A 3948-2024 FSC-klagomål mail.docx", "A 3948-2024")</f>
        <v/>
      </c>
      <c r="AC49">
        <f>HYPERLINK("https://klasma.github.io/Logging_1496/tillsyn/A 3948-2024 tillsynsbegäran.docx", "A 3948-2024")</f>
        <v/>
      </c>
      <c r="AD49">
        <f>HYPERLINK("https://klasma.github.io/Logging_1496/tillsynsmail/A 3948-2024 tillsynsbegäran mail.docx", "A 3948-2024")</f>
        <v/>
      </c>
    </row>
    <row r="50" ht="15" customHeight="1">
      <c r="A50" t="inlineStr">
        <is>
          <t>A 52377-2023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46275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Kransrams</t>
        </is>
      </c>
      <c r="W50">
        <f>HYPERLINK("https://klasma.github.io/Logging_1496/artfynd/A 52377-2023 artfynd.xlsx", "A 52377-2023")</f>
        <v/>
      </c>
      <c r="X50">
        <f>HYPERLINK("https://klasma.github.io/Logging_1496/kartor/A 52377-2023 karta.png", "A 52377-2023")</f>
        <v/>
      </c>
      <c r="Y50">
        <f>HYPERLINK("https://klasma.github.io/Logging_1496/kartor_geotiff/A 52377-2023 georefererad karta.tif", "A 52377-2023")</f>
        <v/>
      </c>
      <c r="AA50">
        <f>HYPERLINK("https://klasma.github.io/Logging_1496/klagomål/A 52377-2023 FSC-klagomål.docx", "A 52377-2023")</f>
        <v/>
      </c>
      <c r="AB50">
        <f>HYPERLINK("https://klasma.github.io/Logging_1496/klagomålsmail/A 52377-2023 FSC-klagomål mail.docx", "A 52377-2023")</f>
        <v/>
      </c>
      <c r="AC50">
        <f>HYPERLINK("https://klasma.github.io/Logging_1496/tillsyn/A 52377-2023 tillsynsbegäran.docx", "A 52377-2023")</f>
        <v/>
      </c>
      <c r="AD50">
        <f>HYPERLINK("https://klasma.github.io/Logging_1496/tillsynsmail/A 52377-2023 tillsynsbegäran mail.docx", "A 52377-2023")</f>
        <v/>
      </c>
    </row>
    <row r="51" ht="15" customHeight="1">
      <c r="A51" t="inlineStr">
        <is>
          <t>A 26712-2025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46275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HYPERLINK("https://klasma.github.io/Logging_1496/artfynd/A 26712-2025 artfynd.xlsx", "A 26712-2025")</f>
        <v/>
      </c>
      <c r="X51">
        <f>HYPERLINK("https://klasma.github.io/Logging_1496/kartor/A 26712-2025 karta.png", "A 26712-2025")</f>
        <v/>
      </c>
      <c r="Y51">
        <f>HYPERLINK("https://klasma.github.io/Logging_1496/kartor_geotiff/A 26712-2025 georefererad karta.tif", "A 26712-2025")</f>
        <v/>
      </c>
      <c r="AA51">
        <f>HYPERLINK("https://klasma.github.io/Logging_1496/klagomål/A 26712-2025 FSC-klagomål.docx", "A 26712-2025")</f>
        <v/>
      </c>
      <c r="AB51">
        <f>HYPERLINK("https://klasma.github.io/Logging_1496/klagomålsmail/A 26712-2025 FSC-klagomål mail.docx", "A 26712-2025")</f>
        <v/>
      </c>
      <c r="AC51">
        <f>HYPERLINK("https://klasma.github.io/Logging_1496/tillsyn/A 26712-2025 tillsynsbegäran.docx", "A 26712-2025")</f>
        <v/>
      </c>
      <c r="AD51">
        <f>HYPERLINK("https://klasma.github.io/Logging_1496/tillsynsmail/A 26712-2025 tillsynsbegäran mail.docx", "A 26712-2025")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46275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47869-2025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45932</v>
      </c>
      <c r="E53" s="1" t="n">
        <v>46275</v>
      </c>
      <c r="F53" t="inlineStr">
        <is>
          <t>VÄSTRA GÖTALANDS LÄN</t>
        </is>
      </c>
      <c r="G53" t="inlineStr">
        <is>
          <t>SKÖVDE</t>
        </is>
      </c>
      <c r="I53" t="n">
        <v>1.6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Backmåra</t>
        </is>
      </c>
      <c r="W53">
        <f>HYPERLINK("https://klasma.github.io/Logging_1496/artfynd/A 47869-2025 artfynd.xlsx", "A 47869-2025")</f>
        <v/>
      </c>
      <c r="X53">
        <f>HYPERLINK("https://klasma.github.io/Logging_1496/kartor/A 47869-2025 karta.png", "A 47869-2025")</f>
        <v/>
      </c>
      <c r="Y53">
        <f>HYPERLINK("https://klasma.github.io/Logging_1496/kartor_geotiff/A 47869-2025 georefererad karta.tif", "A 47869-2025")</f>
        <v/>
      </c>
      <c r="AA53">
        <f>HYPERLINK("https://klasma.github.io/Logging_1496/klagomål/A 47869-2025 FSC-klagomål.docx", "A 47869-2025")</f>
        <v/>
      </c>
      <c r="AB53">
        <f>HYPERLINK("https://klasma.github.io/Logging_1496/klagomålsmail/A 47869-2025 FSC-klagomål mail.docx", "A 47869-2025")</f>
        <v/>
      </c>
      <c r="AC53">
        <f>HYPERLINK("https://klasma.github.io/Logging_1496/tillsyn/A 47869-2025 tillsynsbegäran.docx", "A 47869-2025")</f>
        <v/>
      </c>
      <c r="AD53">
        <f>HYPERLINK("https://klasma.github.io/Logging_1496/tillsynsmail/A 47869-2025 tillsynsbegäran mail.docx", "A 47869-2025")</f>
        <v/>
      </c>
    </row>
    <row r="54" ht="15" customHeight="1">
      <c r="A54" t="inlineStr">
        <is>
          <t>A 17452-2023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45036</v>
      </c>
      <c r="E54" s="1" t="n">
        <v>46275</v>
      </c>
      <c r="F54" t="inlineStr">
        <is>
          <t>VÄSTRA GÖTALANDS LÄN</t>
        </is>
      </c>
      <c r="G54" t="inlineStr">
        <is>
          <t>SKÖVDE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HYPERLINK("https://klasma.github.io/Logging_1496/artfynd/A 17452-2023 artfynd.xlsx", "A 17452-2023")</f>
        <v/>
      </c>
      <c r="X54">
        <f>HYPERLINK("https://klasma.github.io/Logging_1496/kartor/A 17452-2023 karta.png", "A 17452-2023")</f>
        <v/>
      </c>
      <c r="Y54">
        <f>HYPERLINK("https://klasma.github.io/Logging_1496/kartor_geotiff/A 17452-2023 georefererad karta.tif", "A 17452-2023")</f>
        <v/>
      </c>
      <c r="AA54">
        <f>HYPERLINK("https://klasma.github.io/Logging_1496/klagomål/A 17452-2023 FSC-klagomål.docx", "A 17452-2023")</f>
        <v/>
      </c>
      <c r="AB54">
        <f>HYPERLINK("https://klasma.github.io/Logging_1496/klagomålsmail/A 17452-2023 FSC-klagomål mail.docx", "A 17452-2023")</f>
        <v/>
      </c>
      <c r="AC54">
        <f>HYPERLINK("https://klasma.github.io/Logging_1496/tillsyn/A 17452-2023 tillsynsbegäran.docx", "A 17452-2023")</f>
        <v/>
      </c>
      <c r="AD54">
        <f>HYPERLINK("https://klasma.github.io/Logging_1496/tillsynsmail/A 17452-2023 tillsynsbegäran mail.docx", "A 17452-2023")</f>
        <v/>
      </c>
    </row>
    <row r="55" ht="15" customHeight="1">
      <c r="A55" t="inlineStr">
        <is>
          <t>A 18132-2023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46275</v>
      </c>
      <c r="F55" t="inlineStr">
        <is>
          <t>VÄSTRA GÖTALANDS LÄN</t>
        </is>
      </c>
      <c r="G55" t="inlineStr">
        <is>
          <t>SKÖVDE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Hässleklocka</t>
        </is>
      </c>
      <c r="W55">
        <f>HYPERLINK("https://klasma.github.io/Logging_1496/artfynd/A 18132-2023 artfynd.xlsx", "A 18132-2023")</f>
        <v/>
      </c>
      <c r="X55">
        <f>HYPERLINK("https://klasma.github.io/Logging_1496/kartor/A 18132-2023 karta.png", "A 18132-2023")</f>
        <v/>
      </c>
      <c r="Y55">
        <f>HYPERLINK("https://klasma.github.io/Logging_1496/kartor_geotiff/A 18132-2023 georefererad karta.tif", "A 18132-2023")</f>
        <v/>
      </c>
      <c r="AA55">
        <f>HYPERLINK("https://klasma.github.io/Logging_1496/klagomål/A 18132-2023 FSC-klagomål.docx", "A 18132-2023")</f>
        <v/>
      </c>
      <c r="AB55">
        <f>HYPERLINK("https://klasma.github.io/Logging_1496/klagomålsmail/A 18132-2023 FSC-klagomål mail.docx", "A 18132-2023")</f>
        <v/>
      </c>
      <c r="AC55">
        <f>HYPERLINK("https://klasma.github.io/Logging_1496/tillsyn/A 18132-2023 tillsynsbegäran.docx", "A 18132-2023")</f>
        <v/>
      </c>
      <c r="AD55">
        <f>HYPERLINK("https://klasma.github.io/Logging_1496/tillsynsmail/A 18132-2023 tillsynsbegäran mail.docx", "A 18132-2023")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46275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46275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3951-2024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46275</v>
      </c>
      <c r="F58" t="inlineStr">
        <is>
          <t>VÄSTRA GÖTALANDS LÄN</t>
        </is>
      </c>
      <c r="G58" t="inlineStr">
        <is>
          <t>SKÖVDE</t>
        </is>
      </c>
      <c r="I58" t="n">
        <v>10.7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3951-2024 artfynd.xlsx", "A 3951-2024")</f>
        <v/>
      </c>
      <c r="X58">
        <f>HYPERLINK("https://klasma.github.io/Logging_1496/kartor/A 3951-2024 karta.png", "A 3951-2024")</f>
        <v/>
      </c>
      <c r="Y58">
        <f>HYPERLINK("https://klasma.github.io/Logging_1496/kartor_geotiff/A 3951-2024 georefererad karta.tif", "A 3951-2024")</f>
        <v/>
      </c>
      <c r="AA58">
        <f>HYPERLINK("https://klasma.github.io/Logging_1496/klagomål/A 3951-2024 FSC-klagomål.docx", "A 3951-2024")</f>
        <v/>
      </c>
      <c r="AB58">
        <f>HYPERLINK("https://klasma.github.io/Logging_1496/klagomålsmail/A 3951-2024 FSC-klagomål mail.docx", "A 3951-2024")</f>
        <v/>
      </c>
      <c r="AC58">
        <f>HYPERLINK("https://klasma.github.io/Logging_1496/tillsyn/A 3951-2024 tillsynsbegäran.docx", "A 3951-2024")</f>
        <v/>
      </c>
      <c r="AD58">
        <f>HYPERLINK("https://klasma.github.io/Logging_1496/tillsynsmail/A 3951-2024 tillsynsbegäran mail.docx", "A 3951-2024")</f>
        <v/>
      </c>
    </row>
    <row r="59" ht="15" customHeight="1">
      <c r="A59" t="inlineStr">
        <is>
          <t>A 28717-2026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46275</v>
      </c>
      <c r="F59" t="inlineStr">
        <is>
          <t>VÄSTRA GÖTALANDS LÄN</t>
        </is>
      </c>
      <c r="G59" t="inlineStr">
        <is>
          <t>SKÖVDE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28717-2026 artfynd.xlsx", "A 28717-2026")</f>
        <v/>
      </c>
      <c r="X59">
        <f>HYPERLINK("https://klasma.github.io/Logging_1496/kartor/A 28717-2026 karta.png", "A 28717-2026")</f>
        <v/>
      </c>
      <c r="Y59">
        <f>HYPERLINK("https://klasma.github.io/Logging_1496/kartor_geotiff/A 28717-2026 georefererad karta.tif", "A 28717-2026")</f>
        <v/>
      </c>
      <c r="AA59">
        <f>HYPERLINK("https://klasma.github.io/Logging_1496/klagomål/A 28717-2026 FSC-klagomål.docx", "A 28717-2026")</f>
        <v/>
      </c>
      <c r="AB59">
        <f>HYPERLINK("https://klasma.github.io/Logging_1496/klagomålsmail/A 28717-2026 FSC-klagomål mail.docx", "A 28717-2026")</f>
        <v/>
      </c>
      <c r="AC59">
        <f>HYPERLINK("https://klasma.github.io/Logging_1496/tillsyn/A 28717-2026 tillsynsbegäran.docx", "A 28717-2026")</f>
        <v/>
      </c>
      <c r="AD59">
        <f>HYPERLINK("https://klasma.github.io/Logging_1496/tillsynsmail/A 28717-2026 tillsynsbegäran mail.docx", "A 28717-2026")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46275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36667-2026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46272</v>
      </c>
      <c r="E61" s="1" t="n">
        <v>46275</v>
      </c>
      <c r="F61" t="inlineStr">
        <is>
          <t>VÄSTRA GÖTALANDS LÄN</t>
        </is>
      </c>
      <c r="G61" t="inlineStr">
        <is>
          <t>SKÖVDE</t>
        </is>
      </c>
      <c r="I61" t="n">
        <v>2.4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Trollfibbla</t>
        </is>
      </c>
      <c r="W61">
        <f>HYPERLINK("https://klasma.github.io/Logging_1496/artfynd/A 36667-2026 artfynd.xlsx", "A 36667-2026")</f>
        <v/>
      </c>
      <c r="X61">
        <f>HYPERLINK("https://klasma.github.io/Logging_1496/kartor/A 36667-2026 karta.png", "A 36667-2026")</f>
        <v/>
      </c>
      <c r="Y61">
        <f>HYPERLINK("https://klasma.github.io/Logging_1496/kartor_geotiff/A 36667-2026 georefererad karta.tif", "A 36667-2026")</f>
        <v/>
      </c>
      <c r="AA61">
        <f>HYPERLINK("https://klasma.github.io/Logging_1496/klagomål/A 36667-2026 FSC-klagomål.docx", "A 36667-2026")</f>
        <v/>
      </c>
      <c r="AB61">
        <f>HYPERLINK("https://klasma.github.io/Logging_1496/klagomålsmail/A 36667-2026 FSC-klagomål mail.docx", "A 36667-2026")</f>
        <v/>
      </c>
      <c r="AC61">
        <f>HYPERLINK("https://klasma.github.io/Logging_1496/tillsyn/A 36667-2026 tillsynsbegäran.docx", "A 36667-2026")</f>
        <v/>
      </c>
      <c r="AD61">
        <f>HYPERLINK("https://klasma.github.io/Logging_1496/tillsynsmail/A 36667-2026 tillsynsbegäran mail.docx", "A 36667-2026")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46275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8134-2022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46275</v>
      </c>
      <c r="F63" t="inlineStr">
        <is>
          <t>VÄSTRA GÖTALANDS LÄN</t>
        </is>
      </c>
      <c r="G63" t="inlineStr">
        <is>
          <t>SKÖVDE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46275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46275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46275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46275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46275</v>
      </c>
      <c r="F68" t="inlineStr">
        <is>
          <t>VÄSTRA GÖTALANDS LÄN</t>
        </is>
      </c>
      <c r="G68" t="inlineStr">
        <is>
          <t>SKÖVDE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28510-2022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46275</v>
      </c>
      <c r="F69" t="inlineStr">
        <is>
          <t>VÄSTRA GÖTALANDS LÄN</t>
        </is>
      </c>
      <c r="G69" t="inlineStr">
        <is>
          <t>SKÖVDE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46275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46275</v>
      </c>
      <c r="F71" t="inlineStr">
        <is>
          <t>VÄSTRA GÖTALANDS LÄN</t>
        </is>
      </c>
      <c r="G71" t="inlineStr">
        <is>
          <t>SKÖVDE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44567</v>
      </c>
      <c r="E72" s="1" t="n">
        <v>46275</v>
      </c>
      <c r="F72" t="inlineStr">
        <is>
          <t>VÄSTRA GÖTALANDS LÄN</t>
        </is>
      </c>
      <c r="G72" t="inlineStr">
        <is>
          <t>SKÖVDE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46275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26836-2022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44740</v>
      </c>
      <c r="E74" s="1" t="n">
        <v>46275</v>
      </c>
      <c r="F74" t="inlineStr">
        <is>
          <t>VÄSTRA GÖTALANDS LÄN</t>
        </is>
      </c>
      <c r="G74" t="inlineStr">
        <is>
          <t>SKÖVDE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46275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46275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46275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11885-2022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44635</v>
      </c>
      <c r="E78" s="1" t="n">
        <v>46275</v>
      </c>
      <c r="F78" t="inlineStr">
        <is>
          <t>VÄSTRA GÖTALANDS LÄN</t>
        </is>
      </c>
      <c r="G78" t="inlineStr">
        <is>
          <t>SKÖVDE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46275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45299</v>
      </c>
      <c r="E80" s="1" t="n">
        <v>46275</v>
      </c>
      <c r="F80" t="inlineStr">
        <is>
          <t>VÄSTRA GÖTALANDS LÄN</t>
        </is>
      </c>
      <c r="G80" t="inlineStr">
        <is>
          <t>SKÖVDE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46275</v>
      </c>
      <c r="F81" t="inlineStr">
        <is>
          <t>VÄSTRA GÖTALANDS LÄN</t>
        </is>
      </c>
      <c r="G81" t="inlineStr">
        <is>
          <t>SKÖVDE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45590</v>
      </c>
      <c r="E82" s="1" t="n">
        <v>46275</v>
      </c>
      <c r="F82" t="inlineStr">
        <is>
          <t>VÄSTRA GÖTALANDS LÄN</t>
        </is>
      </c>
      <c r="G82" t="inlineStr">
        <is>
          <t>SKÖVDE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45301</v>
      </c>
      <c r="E83" s="1" t="n">
        <v>46275</v>
      </c>
      <c r="F83" t="inlineStr">
        <is>
          <t>VÄSTRA GÖTALANDS LÄN</t>
        </is>
      </c>
      <c r="G83" t="inlineStr">
        <is>
          <t>SKÖVDE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46275</v>
      </c>
      <c r="F84" t="inlineStr">
        <is>
          <t>VÄSTRA GÖTALANDS LÄN</t>
        </is>
      </c>
      <c r="G84" t="inlineStr">
        <is>
          <t>SKÖVDE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45315</v>
      </c>
      <c r="E85" s="1" t="n">
        <v>46275</v>
      </c>
      <c r="F85" t="inlineStr">
        <is>
          <t>VÄSTRA GÖTALANDS LÄN</t>
        </is>
      </c>
      <c r="G85" t="inlineStr">
        <is>
          <t>SKÖVDE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46275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44823</v>
      </c>
      <c r="E87" s="1" t="n">
        <v>46275</v>
      </c>
      <c r="F87" t="inlineStr">
        <is>
          <t>VÄSTRA GÖTALANDS LÄN</t>
        </is>
      </c>
      <c r="G87" t="inlineStr">
        <is>
          <t>SKÖVDE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44629</v>
      </c>
      <c r="E88" s="1" t="n">
        <v>46275</v>
      </c>
      <c r="F88" t="inlineStr">
        <is>
          <t>VÄSTRA GÖTALANDS LÄN</t>
        </is>
      </c>
      <c r="G88" t="inlineStr">
        <is>
          <t>SKÖVDE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44481</v>
      </c>
      <c r="E89" s="1" t="n">
        <v>46275</v>
      </c>
      <c r="F89" t="inlineStr">
        <is>
          <t>VÄSTRA GÖTALANDS LÄN</t>
        </is>
      </c>
      <c r="G89" t="inlineStr">
        <is>
          <t>SKÖVDE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45267</v>
      </c>
      <c r="E90" s="1" t="n">
        <v>46275</v>
      </c>
      <c r="F90" t="inlineStr">
        <is>
          <t>VÄSTRA GÖTALANDS LÄN</t>
        </is>
      </c>
      <c r="G90" t="inlineStr">
        <is>
          <t>SKÖVDE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46275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46275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45314</v>
      </c>
      <c r="E93" s="1" t="n">
        <v>46275</v>
      </c>
      <c r="F93" t="inlineStr">
        <is>
          <t>VÄSTRA GÖTALANDS LÄN</t>
        </is>
      </c>
      <c r="G93" t="inlineStr">
        <is>
          <t>SKÖVDE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45306</v>
      </c>
      <c r="E94" s="1" t="n">
        <v>46275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44820</v>
      </c>
      <c r="E95" s="1" t="n">
        <v>46275</v>
      </c>
      <c r="F95" t="inlineStr">
        <is>
          <t>VÄSTRA GÖTALANDS LÄN</t>
        </is>
      </c>
      <c r="G95" t="inlineStr">
        <is>
          <t>SKÖVDE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44862</v>
      </c>
      <c r="E96" s="1" t="n">
        <v>46275</v>
      </c>
      <c r="F96" t="inlineStr">
        <is>
          <t>VÄSTRA GÖTALANDS LÄN</t>
        </is>
      </c>
      <c r="G96" t="inlineStr">
        <is>
          <t>SKÖVDE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46275</v>
      </c>
      <c r="F97" t="inlineStr">
        <is>
          <t>VÄSTRA GÖTALANDS LÄN</t>
        </is>
      </c>
      <c r="G97" t="inlineStr">
        <is>
          <t>SKÖVDE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45159</v>
      </c>
      <c r="E98" s="1" t="n">
        <v>46275</v>
      </c>
      <c r="F98" t="inlineStr">
        <is>
          <t>VÄSTRA GÖTALANDS LÄN</t>
        </is>
      </c>
      <c r="G98" t="inlineStr">
        <is>
          <t>SKÖVDE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45138</v>
      </c>
      <c r="E99" s="1" t="n">
        <v>46275</v>
      </c>
      <c r="F99" t="inlineStr">
        <is>
          <t>VÄSTRA GÖTALANDS LÄN</t>
        </is>
      </c>
      <c r="G99" t="inlineStr">
        <is>
          <t>SKÖVDE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44938</v>
      </c>
      <c r="E100" s="1" t="n">
        <v>46275</v>
      </c>
      <c r="F100" t="inlineStr">
        <is>
          <t>VÄSTRA GÖTALANDS LÄN</t>
        </is>
      </c>
      <c r="G100" t="inlineStr">
        <is>
          <t>SKÖVDE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46275</v>
      </c>
      <c r="F101" t="inlineStr">
        <is>
          <t>VÄSTRA GÖTALANDS LÄN</t>
        </is>
      </c>
      <c r="G101" t="inlineStr">
        <is>
          <t>SKÖVDE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45315</v>
      </c>
      <c r="E102" s="1" t="n">
        <v>46275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60117-2021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44495</v>
      </c>
      <c r="E103" s="1" t="n">
        <v>46275</v>
      </c>
      <c r="F103" t="inlineStr">
        <is>
          <t>VÄSTRA GÖTALANDS LÄN</t>
        </is>
      </c>
      <c r="G103" t="inlineStr">
        <is>
          <t>SKÖVDE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45163</v>
      </c>
      <c r="E104" s="1" t="n">
        <v>46275</v>
      </c>
      <c r="F104" t="inlineStr">
        <is>
          <t>VÄSTRA GÖTALANDS LÄN</t>
        </is>
      </c>
      <c r="G104" t="inlineStr">
        <is>
          <t>SKÖVDE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46275</v>
      </c>
      <c r="F105" t="inlineStr">
        <is>
          <t>VÄSTRA GÖTALANDS LÄN</t>
        </is>
      </c>
      <c r="G105" t="inlineStr">
        <is>
          <t>SKÖVDE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46275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46275</v>
      </c>
      <c r="F107" t="inlineStr">
        <is>
          <t>VÄSTRA GÖTALANDS LÄN</t>
        </is>
      </c>
      <c r="G107" t="inlineStr">
        <is>
          <t>SKÖVDE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45721</v>
      </c>
      <c r="E108" s="1" t="n">
        <v>46275</v>
      </c>
      <c r="F108" t="inlineStr">
        <is>
          <t>VÄSTRA GÖTALANDS LÄN</t>
        </is>
      </c>
      <c r="G108" t="inlineStr">
        <is>
          <t>SKÖVDE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46275</v>
      </c>
      <c r="F109" t="inlineStr">
        <is>
          <t>VÄSTRA GÖTALANDS LÄN</t>
        </is>
      </c>
      <c r="G109" t="inlineStr">
        <is>
          <t>SKÖVDE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45586</v>
      </c>
      <c r="E110" s="1" t="n">
        <v>46275</v>
      </c>
      <c r="F110" t="inlineStr">
        <is>
          <t>VÄSTRA GÖTALANDS LÄN</t>
        </is>
      </c>
      <c r="G110" t="inlineStr">
        <is>
          <t>SKÖVDE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46275</v>
      </c>
      <c r="F111" t="inlineStr">
        <is>
          <t>VÄSTRA GÖTALANDS LÄN</t>
        </is>
      </c>
      <c r="G111" t="inlineStr">
        <is>
          <t>SKÖVDE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45547</v>
      </c>
      <c r="E112" s="1" t="n">
        <v>46275</v>
      </c>
      <c r="F112" t="inlineStr">
        <is>
          <t>VÄSTRA GÖTALANDS LÄN</t>
        </is>
      </c>
      <c r="G112" t="inlineStr">
        <is>
          <t>SKÖVDE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45259</v>
      </c>
      <c r="E113" s="1" t="n">
        <v>46275</v>
      </c>
      <c r="F113" t="inlineStr">
        <is>
          <t>VÄSTRA GÖTALANDS LÄN</t>
        </is>
      </c>
      <c r="G113" t="inlineStr">
        <is>
          <t>SKÖVDE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35280-2024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45530</v>
      </c>
      <c r="E114" s="1" t="n">
        <v>46275</v>
      </c>
      <c r="F114" t="inlineStr">
        <is>
          <t>VÄSTRA GÖTALANDS LÄN</t>
        </is>
      </c>
      <c r="G114" t="inlineStr">
        <is>
          <t>SKÖVDE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46275</v>
      </c>
      <c r="F115" t="inlineStr">
        <is>
          <t>VÄSTRA GÖTALANDS LÄN</t>
        </is>
      </c>
      <c r="G115" t="inlineStr">
        <is>
          <t>SKÖVDE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45320</v>
      </c>
      <c r="E116" s="1" t="n">
        <v>46275</v>
      </c>
      <c r="F116" t="inlineStr">
        <is>
          <t>VÄSTRA GÖTALANDS LÄN</t>
        </is>
      </c>
      <c r="G116" t="inlineStr">
        <is>
          <t>SKÖVDE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46275</v>
      </c>
      <c r="F117" t="inlineStr">
        <is>
          <t>VÄSTRA GÖTALANDS LÄN</t>
        </is>
      </c>
      <c r="G117" t="inlineStr">
        <is>
          <t>SKÖVDE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46275</v>
      </c>
      <c r="F118" t="inlineStr">
        <is>
          <t>VÄSTRA GÖTALANDS LÄN</t>
        </is>
      </c>
      <c r="G118" t="inlineStr">
        <is>
          <t>SKÖVDE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46401-2023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45197</v>
      </c>
      <c r="E119" s="1" t="n">
        <v>46275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44804</v>
      </c>
      <c r="E120" s="1" t="n">
        <v>46275</v>
      </c>
      <c r="F120" t="inlineStr">
        <is>
          <t>VÄSTRA GÖTALANDS LÄN</t>
        </is>
      </c>
      <c r="G120" t="inlineStr">
        <is>
          <t>SKÖVDE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44599</v>
      </c>
      <c r="E121" s="1" t="n">
        <v>46275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45687</v>
      </c>
      <c r="E122" s="1" t="n">
        <v>46275</v>
      </c>
      <c r="F122" t="inlineStr">
        <is>
          <t>VÄSTRA GÖTALANDS LÄN</t>
        </is>
      </c>
      <c r="G122" t="inlineStr">
        <is>
          <t>SKÖVDE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45215</v>
      </c>
      <c r="E123" s="1" t="n">
        <v>46275</v>
      </c>
      <c r="F123" t="inlineStr">
        <is>
          <t>VÄSTRA GÖTALANDS LÄN</t>
        </is>
      </c>
      <c r="G123" t="inlineStr">
        <is>
          <t>SKÖVDE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46275</v>
      </c>
      <c r="F124" t="inlineStr">
        <is>
          <t>VÄSTRA GÖTALANDS LÄN</t>
        </is>
      </c>
      <c r="G124" t="inlineStr">
        <is>
          <t>SKÖVDE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46275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26737-2023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46275</v>
      </c>
      <c r="F126" t="inlineStr">
        <is>
          <t>VÄSTRA GÖTALANDS LÄN</t>
        </is>
      </c>
      <c r="G126" t="inlineStr">
        <is>
          <t>SKÖVDE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20912-2024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45439</v>
      </c>
      <c r="E127" s="1" t="n">
        <v>46275</v>
      </c>
      <c r="F127" t="inlineStr">
        <is>
          <t>VÄSTRA GÖTALANDS LÄN</t>
        </is>
      </c>
      <c r="G127" t="inlineStr">
        <is>
          <t>SKÖVDE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45082</v>
      </c>
      <c r="E128" s="1" t="n">
        <v>46275</v>
      </c>
      <c r="F128" t="inlineStr">
        <is>
          <t>VÄSTRA GÖTALANDS LÄN</t>
        </is>
      </c>
      <c r="G128" t="inlineStr">
        <is>
          <t>SKÖVDE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51886-2021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44462</v>
      </c>
      <c r="E129" s="1" t="n">
        <v>46275</v>
      </c>
      <c r="F129" t="inlineStr">
        <is>
          <t>VÄSTRA GÖTALANDS LÄN</t>
        </is>
      </c>
      <c r="G129" t="inlineStr">
        <is>
          <t>SKÖVDE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44750</v>
      </c>
      <c r="E130" s="1" t="n">
        <v>46275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46275</v>
      </c>
      <c r="F131" t="inlineStr">
        <is>
          <t>VÄSTRA GÖTALANDS LÄN</t>
        </is>
      </c>
      <c r="G131" t="inlineStr">
        <is>
          <t>SKÖVDE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44959</v>
      </c>
      <c r="E132" s="1" t="n">
        <v>46275</v>
      </c>
      <c r="F132" t="inlineStr">
        <is>
          <t>VÄSTRA GÖTALANDS LÄN</t>
        </is>
      </c>
      <c r="G132" t="inlineStr">
        <is>
          <t>SKÖVDE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17798-2024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45418</v>
      </c>
      <c r="E133" s="1" t="n">
        <v>46275</v>
      </c>
      <c r="F133" t="inlineStr">
        <is>
          <t>VÄSTRA GÖTALANDS LÄN</t>
        </is>
      </c>
      <c r="G133" t="inlineStr">
        <is>
          <t>SKÖVDE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46275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26733-2023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46275</v>
      </c>
      <c r="F135" t="inlineStr">
        <is>
          <t>VÄSTRA GÖTALANDS LÄN</t>
        </is>
      </c>
      <c r="G135" t="inlineStr">
        <is>
          <t>SKÖVDE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45693</v>
      </c>
      <c r="E136" s="1" t="n">
        <v>46275</v>
      </c>
      <c r="F136" t="inlineStr">
        <is>
          <t>VÄSTRA GÖTALANDS LÄN</t>
        </is>
      </c>
      <c r="G136" t="inlineStr">
        <is>
          <t>SKÖVDE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45306</v>
      </c>
      <c r="E137" s="1" t="n">
        <v>46275</v>
      </c>
      <c r="F137" t="inlineStr">
        <is>
          <t>VÄSTRA GÖTALANDS LÄN</t>
        </is>
      </c>
      <c r="G137" t="inlineStr">
        <is>
          <t>SKÖVDE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60588-2023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45259</v>
      </c>
      <c r="E138" s="1" t="n">
        <v>46275</v>
      </c>
      <c r="F138" t="inlineStr">
        <is>
          <t>VÄSTRA GÖTALANDS LÄN</t>
        </is>
      </c>
      <c r="G138" t="inlineStr">
        <is>
          <t>SKÖVDE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46275</v>
      </c>
      <c r="F139" t="inlineStr">
        <is>
          <t>VÄSTRA GÖTALANDS LÄN</t>
        </is>
      </c>
      <c r="G139" t="inlineStr">
        <is>
          <t>SKÖVDE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46275</v>
      </c>
      <c r="F140" t="inlineStr">
        <is>
          <t>VÄSTRA GÖTALANDS LÄN</t>
        </is>
      </c>
      <c r="G140" t="inlineStr">
        <is>
          <t>SKÖVDE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46275</v>
      </c>
      <c r="F141" t="inlineStr">
        <is>
          <t>VÄSTRA GÖTALANDS LÄN</t>
        </is>
      </c>
      <c r="G141" t="inlineStr">
        <is>
          <t>SKÖVDE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40995-2022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46275</v>
      </c>
      <c r="F142" t="inlineStr">
        <is>
          <t>VÄSTRA GÖTALANDS LÄN</t>
        </is>
      </c>
      <c r="G142" t="inlineStr">
        <is>
          <t>SKÖVDE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46275</v>
      </c>
      <c r="F143" t="inlineStr">
        <is>
          <t>VÄSTRA GÖTALANDS LÄN</t>
        </is>
      </c>
      <c r="G143" t="inlineStr">
        <is>
          <t>SKÖVDE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46275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13669-2023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45006</v>
      </c>
      <c r="E145" s="1" t="n">
        <v>46275</v>
      </c>
      <c r="F145" t="inlineStr">
        <is>
          <t>VÄSTRA GÖTALANDS LÄN</t>
        </is>
      </c>
      <c r="G145" t="inlineStr">
        <is>
          <t>SKÖVDE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37204-2024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46275</v>
      </c>
      <c r="F146" t="inlineStr">
        <is>
          <t>VÄSTRA GÖTALANDS LÄN</t>
        </is>
      </c>
      <c r="G146" t="inlineStr">
        <is>
          <t>SKÖVDE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46275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46275</v>
      </c>
      <c r="F148" t="inlineStr">
        <is>
          <t>VÄSTRA GÖTALANDS LÄN</t>
        </is>
      </c>
      <c r="G148" t="inlineStr">
        <is>
          <t>SKÖVDE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46275</v>
      </c>
      <c r="F149" t="inlineStr">
        <is>
          <t>VÄSTRA GÖTALANDS LÄN</t>
        </is>
      </c>
      <c r="G149" t="inlineStr">
        <is>
          <t>SKÖVDE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45169</v>
      </c>
      <c r="E150" s="1" t="n">
        <v>46275</v>
      </c>
      <c r="F150" t="inlineStr">
        <is>
          <t>VÄSTRA GÖTALANDS LÄN</t>
        </is>
      </c>
      <c r="G150" t="inlineStr">
        <is>
          <t>SKÖVDE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45710</v>
      </c>
      <c r="E151" s="1" t="n">
        <v>46275</v>
      </c>
      <c r="F151" t="inlineStr">
        <is>
          <t>VÄSTRA GÖTALANDS LÄN</t>
        </is>
      </c>
      <c r="G151" t="inlineStr">
        <is>
          <t>SKÖVDE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46275</v>
      </c>
      <c r="F152" t="inlineStr">
        <is>
          <t>VÄSTRA GÖTALANDS LÄN</t>
        </is>
      </c>
      <c r="G152" t="inlineStr">
        <is>
          <t>SKÖVDE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45715</v>
      </c>
      <c r="E153" s="1" t="n">
        <v>46275</v>
      </c>
      <c r="F153" t="inlineStr">
        <is>
          <t>VÄSTRA GÖTALANDS LÄN</t>
        </is>
      </c>
      <c r="G153" t="inlineStr">
        <is>
          <t>SKÖVDE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46275</v>
      </c>
      <c r="F154" t="inlineStr">
        <is>
          <t>VÄSTRA GÖTALANDS LÄN</t>
        </is>
      </c>
      <c r="G154" t="inlineStr">
        <is>
          <t>SKÖVDE</t>
        </is>
      </c>
      <c r="I154" t="n">
        <v>10.1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45142</v>
      </c>
      <c r="E155" s="1" t="n">
        <v>46275</v>
      </c>
      <c r="F155" t="inlineStr">
        <is>
          <t>VÄSTRA GÖTALANDS LÄN</t>
        </is>
      </c>
      <c r="G155" t="inlineStr">
        <is>
          <t>SKÖVDE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46275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46275</v>
      </c>
      <c r="F157" t="inlineStr">
        <is>
          <t>VÄSTRA GÖTALANDS LÄN</t>
        </is>
      </c>
      <c r="G157" t="inlineStr">
        <is>
          <t>SKÖVDE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46275</v>
      </c>
      <c r="F158" t="inlineStr">
        <is>
          <t>VÄSTRA GÖTALANDS LÄN</t>
        </is>
      </c>
      <c r="G158" t="inlineStr">
        <is>
          <t>SKÖVDE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46275</v>
      </c>
      <c r="F159" t="inlineStr">
        <is>
          <t>VÄSTRA GÖTALANDS LÄN</t>
        </is>
      </c>
      <c r="G159" t="inlineStr">
        <is>
          <t>SKÖVDE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5658-2024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45334</v>
      </c>
      <c r="E160" s="1" t="n">
        <v>46275</v>
      </c>
      <c r="F160" t="inlineStr">
        <is>
          <t>VÄSTRA GÖTALANDS LÄN</t>
        </is>
      </c>
      <c r="G160" t="inlineStr">
        <is>
          <t>SKÖVDE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46275</v>
      </c>
      <c r="F161" t="inlineStr">
        <is>
          <t>VÄSTRA GÖTALANDS LÄN</t>
        </is>
      </c>
      <c r="G161" t="inlineStr">
        <is>
          <t>SKÖVDE</t>
        </is>
      </c>
      <c r="I161" t="n">
        <v>12.3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46275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46275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25639-2025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45800</v>
      </c>
      <c r="E164" s="1" t="n">
        <v>46275</v>
      </c>
      <c r="F164" t="inlineStr">
        <is>
          <t>VÄSTRA GÖTALANDS LÄN</t>
        </is>
      </c>
      <c r="G164" t="inlineStr">
        <is>
          <t>SKÖVDE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25003-2025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46275</v>
      </c>
      <c r="F165" t="inlineStr">
        <is>
          <t>VÄSTRA GÖTALANDS LÄN</t>
        </is>
      </c>
      <c r="G165" t="inlineStr">
        <is>
          <t>SKÖVDE</t>
        </is>
      </c>
      <c r="H165" t="inlineStr">
        <is>
          <t>Kommuner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45590</v>
      </c>
      <c r="E166" s="1" t="n">
        <v>46275</v>
      </c>
      <c r="F166" t="inlineStr">
        <is>
          <t>VÄSTRA GÖTALANDS LÄN</t>
        </is>
      </c>
      <c r="G166" t="inlineStr">
        <is>
          <t>SKÖVDE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25642-2025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45803</v>
      </c>
      <c r="E167" s="1" t="n">
        <v>46275</v>
      </c>
      <c r="F167" t="inlineStr">
        <is>
          <t>VÄSTRA GÖTALANDS LÄN</t>
        </is>
      </c>
      <c r="G167" t="inlineStr">
        <is>
          <t>SKÖVDE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45230</v>
      </c>
      <c r="E168" s="1" t="n">
        <v>46275</v>
      </c>
      <c r="F168" t="inlineStr">
        <is>
          <t>VÄSTRA GÖTALANDS LÄN</t>
        </is>
      </c>
      <c r="G168" t="inlineStr">
        <is>
          <t>SKÖVDE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47900-2023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45204</v>
      </c>
      <c r="E169" s="1" t="n">
        <v>46275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46275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46275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46275</v>
      </c>
      <c r="F172" t="inlineStr">
        <is>
          <t>VÄSTRA GÖTALANDS LÄN</t>
        </is>
      </c>
      <c r="G172" t="inlineStr">
        <is>
          <t>SKÖVDE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46275</v>
      </c>
      <c r="F173" t="inlineStr">
        <is>
          <t>VÄSTRA GÖTALANDS LÄN</t>
        </is>
      </c>
      <c r="G173" t="inlineStr">
        <is>
          <t>SKÖVDE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46275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46275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46275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Kommuner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46275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Kyrkan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44811</v>
      </c>
      <c r="E178" s="1" t="n">
        <v>46275</v>
      </c>
      <c r="F178" t="inlineStr">
        <is>
          <t>VÄSTRA GÖTALANDS LÄN</t>
        </is>
      </c>
      <c r="G178" t="inlineStr">
        <is>
          <t>SKÖVDE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46275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Kyrkan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45853</v>
      </c>
      <c r="E180" s="1" t="n">
        <v>46275</v>
      </c>
      <c r="F180" t="inlineStr">
        <is>
          <t>VÄSTRA GÖTALANDS LÄN</t>
        </is>
      </c>
      <c r="G180" t="inlineStr">
        <is>
          <t>SKÖVDE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46275</v>
      </c>
      <c r="F181" t="inlineStr">
        <is>
          <t>VÄSTRA GÖTALANDS LÄN</t>
        </is>
      </c>
      <c r="G181" t="inlineStr">
        <is>
          <t>SKÖVDE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45635</v>
      </c>
      <c r="E182" s="1" t="n">
        <v>46275</v>
      </c>
      <c r="F182" t="inlineStr">
        <is>
          <t>VÄSTRA GÖTALANDS LÄN</t>
        </is>
      </c>
      <c r="G182" t="inlineStr">
        <is>
          <t>SKÖVDE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33053-2025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46275</v>
      </c>
      <c r="F183" t="inlineStr">
        <is>
          <t>VÄSTRA GÖTALANDS LÄN</t>
        </is>
      </c>
      <c r="G183" t="inlineStr">
        <is>
          <t>SKÖVDE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46275</v>
      </c>
      <c r="F184" t="inlineStr">
        <is>
          <t>VÄSTRA GÖTALANDS LÄN</t>
        </is>
      </c>
      <c r="G184" t="inlineStr">
        <is>
          <t>SKÖVDE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46275</v>
      </c>
      <c r="F185" t="inlineStr">
        <is>
          <t>VÄSTRA GÖTALANDS LÄN</t>
        </is>
      </c>
      <c r="G185" t="inlineStr">
        <is>
          <t>SKÖVDE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46275</v>
      </c>
      <c r="F186" t="inlineStr">
        <is>
          <t>VÄSTRA GÖTALANDS LÄN</t>
        </is>
      </c>
      <c r="G186" t="inlineStr">
        <is>
          <t>SKÖVDE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45709</v>
      </c>
      <c r="E187" s="1" t="n">
        <v>46275</v>
      </c>
      <c r="F187" t="inlineStr">
        <is>
          <t>VÄSTRA GÖTALANDS LÄN</t>
        </is>
      </c>
      <c r="G187" t="inlineStr">
        <is>
          <t>SKÖVDE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46275</v>
      </c>
      <c r="F188" t="inlineStr">
        <is>
          <t>VÄSTRA GÖTALANDS LÄN</t>
        </is>
      </c>
      <c r="G188" t="inlineStr">
        <is>
          <t>SKÖVDE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46275</v>
      </c>
      <c r="F189" t="inlineStr">
        <is>
          <t>VÄSTRA GÖTALANDS LÄN</t>
        </is>
      </c>
      <c r="G189" t="inlineStr">
        <is>
          <t>SKÖVDE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46275</v>
      </c>
      <c r="F190" t="inlineStr">
        <is>
          <t>VÄSTRA GÖTALANDS LÄN</t>
        </is>
      </c>
      <c r="G190" t="inlineStr">
        <is>
          <t>SKÖVDE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34528-2023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46275</v>
      </c>
      <c r="F191" t="inlineStr">
        <is>
          <t>VÄSTRA GÖTALANDS LÄN</t>
        </is>
      </c>
      <c r="G191" t="inlineStr">
        <is>
          <t>SKÖVDE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46275</v>
      </c>
      <c r="F192" t="inlineStr">
        <is>
          <t>VÄSTRA GÖTALANDS LÄN</t>
        </is>
      </c>
      <c r="G192" t="inlineStr">
        <is>
          <t>SKÖVDE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45694</v>
      </c>
      <c r="E193" s="1" t="n">
        <v>46275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46923-2025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46275</v>
      </c>
      <c r="F194" t="inlineStr">
        <is>
          <t>VÄSTRA GÖTALANDS LÄN</t>
        </is>
      </c>
      <c r="G194" t="inlineStr">
        <is>
          <t>SKÖVDE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42579-2025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46275</v>
      </c>
      <c r="F195" t="inlineStr">
        <is>
          <t>VÄSTRA GÖTALANDS LÄN</t>
        </is>
      </c>
      <c r="G195" t="inlineStr">
        <is>
          <t>SKÖVDE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46275</v>
      </c>
      <c r="F196" t="inlineStr">
        <is>
          <t>VÄSTRA GÖTALANDS LÄN</t>
        </is>
      </c>
      <c r="G196" t="inlineStr">
        <is>
          <t>SKÖVDE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46275</v>
      </c>
      <c r="F197" t="inlineStr">
        <is>
          <t>VÄSTRA GÖTALANDS LÄN</t>
        </is>
      </c>
      <c r="G197" t="inlineStr">
        <is>
          <t>SKÖVDE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48890-2025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46275</v>
      </c>
      <c r="F198" t="inlineStr">
        <is>
          <t>VÄSTRA GÖTALANDS LÄN</t>
        </is>
      </c>
      <c r="G198" t="inlineStr">
        <is>
          <t>SKÖVDE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44586</v>
      </c>
      <c r="E199" s="1" t="n">
        <v>46275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46275</v>
      </c>
      <c r="F200" t="inlineStr">
        <is>
          <t>VÄSTRA GÖTALANDS LÄN</t>
        </is>
      </c>
      <c r="G200" t="inlineStr">
        <is>
          <t>SKÖVDE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46275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46275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51193-2025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46275</v>
      </c>
      <c r="F203" t="inlineStr">
        <is>
          <t>VÄSTRA GÖTALANDS LÄN</t>
        </is>
      </c>
      <c r="G203" t="inlineStr">
        <is>
          <t>SKÖVDE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45947</v>
      </c>
      <c r="E204" s="1" t="n">
        <v>46275</v>
      </c>
      <c r="F204" t="inlineStr">
        <is>
          <t>VÄSTRA GÖTALANDS LÄN</t>
        </is>
      </c>
      <c r="G204" t="inlineStr">
        <is>
          <t>SKÖVDE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46275</v>
      </c>
      <c r="F205" t="inlineStr">
        <is>
          <t>VÄSTRA GÖTALANDS LÄN</t>
        </is>
      </c>
      <c r="G205" t="inlineStr">
        <is>
          <t>SKÖVDE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46275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45958</v>
      </c>
      <c r="E207" s="1" t="n">
        <v>46275</v>
      </c>
      <c r="F207" t="inlineStr">
        <is>
          <t>VÄSTRA GÖTALANDS LÄN</t>
        </is>
      </c>
      <c r="G207" t="inlineStr">
        <is>
          <t>SKÖVDE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46275</v>
      </c>
      <c r="F208" t="inlineStr">
        <is>
          <t>VÄSTRA GÖTALANDS LÄN</t>
        </is>
      </c>
      <c r="G208" t="inlineStr">
        <is>
          <t>SKÖVDE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46275</v>
      </c>
      <c r="F209" t="inlineStr">
        <is>
          <t>VÄSTRA GÖTALANDS LÄN</t>
        </is>
      </c>
      <c r="G209" t="inlineStr">
        <is>
          <t>SKÖVDE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44601</v>
      </c>
      <c r="E210" s="1" t="n">
        <v>46275</v>
      </c>
      <c r="F210" t="inlineStr">
        <is>
          <t>VÄSTRA GÖTALANDS LÄN</t>
        </is>
      </c>
      <c r="G210" t="inlineStr">
        <is>
          <t>SKÖVDE</t>
        </is>
      </c>
      <c r="H210" t="inlineStr">
        <is>
          <t>Kommuner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44963</v>
      </c>
      <c r="E211" s="1" t="n">
        <v>46275</v>
      </c>
      <c r="F211" t="inlineStr">
        <is>
          <t>VÄSTRA GÖTALANDS LÄN</t>
        </is>
      </c>
      <c r="G211" t="inlineStr">
        <is>
          <t>SKÖVDE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46275</v>
      </c>
      <c r="F212" t="inlineStr">
        <is>
          <t>VÄSTRA GÖTALANDS LÄN</t>
        </is>
      </c>
      <c r="G212" t="inlineStr">
        <is>
          <t>SKÖVDE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45138</v>
      </c>
      <c r="E213" s="1" t="n">
        <v>46275</v>
      </c>
      <c r="F213" t="inlineStr">
        <is>
          <t>VÄSTRA GÖTALANDS LÄN</t>
        </is>
      </c>
      <c r="G213" t="inlineStr">
        <is>
          <t>SKÖVDE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45013</v>
      </c>
      <c r="E214" s="1" t="n">
        <v>46275</v>
      </c>
      <c r="F214" t="inlineStr">
        <is>
          <t>VÄSTRA GÖTALANDS LÄN</t>
        </is>
      </c>
      <c r="G214" t="inlineStr">
        <is>
          <t>SKÖVDE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46275</v>
      </c>
      <c r="F215" t="inlineStr">
        <is>
          <t>VÄSTRA GÖTALANDS LÄN</t>
        </is>
      </c>
      <c r="G215" t="inlineStr">
        <is>
          <t>SKÖVDE</t>
        </is>
      </c>
      <c r="H215" t="inlineStr">
        <is>
          <t>Kommuner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46275</v>
      </c>
      <c r="F216" t="inlineStr">
        <is>
          <t>VÄSTRA GÖTALANDS LÄN</t>
        </is>
      </c>
      <c r="G216" t="inlineStr">
        <is>
          <t>SKÖVDE</t>
        </is>
      </c>
      <c r="H216" t="inlineStr">
        <is>
          <t>Kommuner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67134-2021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44523</v>
      </c>
      <c r="E217" s="1" t="n">
        <v>46275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45105</v>
      </c>
      <c r="E218" s="1" t="n">
        <v>46275</v>
      </c>
      <c r="F218" t="inlineStr">
        <is>
          <t>VÄSTRA GÖTALANDS LÄN</t>
        </is>
      </c>
      <c r="G218" t="inlineStr">
        <is>
          <t>SKÖVDE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46275</v>
      </c>
      <c r="F219" t="inlineStr">
        <is>
          <t>VÄSTRA GÖTALANDS LÄN</t>
        </is>
      </c>
      <c r="G219" t="inlineStr">
        <is>
          <t>SKÖVDE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46002</v>
      </c>
      <c r="E220" s="1" t="n">
        <v>46275</v>
      </c>
      <c r="F220" t="inlineStr">
        <is>
          <t>VÄSTRA GÖTALANDS LÄN</t>
        </is>
      </c>
      <c r="G220" t="inlineStr">
        <is>
          <t>SKÖVDE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46275</v>
      </c>
      <c r="F221" t="inlineStr">
        <is>
          <t>VÄSTRA GÖTALANDS LÄN</t>
        </is>
      </c>
      <c r="G221" t="inlineStr">
        <is>
          <t>SKÖVDE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46275</v>
      </c>
      <c r="F222" t="inlineStr">
        <is>
          <t>VÄSTRA GÖTALANDS LÄN</t>
        </is>
      </c>
      <c r="G222" t="inlineStr">
        <is>
          <t>SKÖVDE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46275</v>
      </c>
      <c r="F223" t="inlineStr">
        <is>
          <t>VÄSTRA GÖTALANDS LÄN</t>
        </is>
      </c>
      <c r="G223" t="inlineStr">
        <is>
          <t>SKÖVDE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45324</v>
      </c>
      <c r="E224" s="1" t="n">
        <v>46275</v>
      </c>
      <c r="F224" t="inlineStr">
        <is>
          <t>VÄSTRA GÖTALANDS LÄN</t>
        </is>
      </c>
      <c r="G224" t="inlineStr">
        <is>
          <t>SKÖVDE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62811-2025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46008</v>
      </c>
      <c r="E225" s="1" t="n">
        <v>46275</v>
      </c>
      <c r="F225" t="inlineStr">
        <is>
          <t>VÄSTRA GÖTALANDS LÄN</t>
        </is>
      </c>
      <c r="G225" t="inlineStr">
        <is>
          <t>SKÖVDE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46008</v>
      </c>
      <c r="E226" s="1" t="n">
        <v>46275</v>
      </c>
      <c r="F226" t="inlineStr">
        <is>
          <t>VÄSTRA GÖTALANDS LÄN</t>
        </is>
      </c>
      <c r="G226" t="inlineStr">
        <is>
          <t>SKÖVDE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45086</v>
      </c>
      <c r="E227" s="1" t="n">
        <v>46275</v>
      </c>
      <c r="F227" t="inlineStr">
        <is>
          <t>VÄSTRA GÖTALANDS LÄN</t>
        </is>
      </c>
      <c r="G227" t="inlineStr">
        <is>
          <t>SKÖVDE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46275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46017</v>
      </c>
      <c r="E229" s="1" t="n">
        <v>46275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46275</v>
      </c>
      <c r="F230" t="inlineStr">
        <is>
          <t>VÄSTRA GÖTALANDS LÄN</t>
        </is>
      </c>
      <c r="G230" t="inlineStr">
        <is>
          <t>SKÖVDE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46052</v>
      </c>
      <c r="E231" s="1" t="n">
        <v>46275</v>
      </c>
      <c r="F231" t="inlineStr">
        <is>
          <t>VÄSTRA GÖTALANDS LÄN</t>
        </is>
      </c>
      <c r="G231" t="inlineStr">
        <is>
          <t>SKÖVDE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46275</v>
      </c>
      <c r="F232" t="inlineStr">
        <is>
          <t>VÄSTRA GÖTALANDS LÄN</t>
        </is>
      </c>
      <c r="G232" t="inlineStr">
        <is>
          <t>SKÖVDE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63374-2025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46275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Övriga statliga verk och myndigheter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46010</v>
      </c>
      <c r="E234" s="1" t="n">
        <v>46275</v>
      </c>
      <c r="F234" t="inlineStr">
        <is>
          <t>VÄSTRA GÖTALANDS LÄN</t>
        </is>
      </c>
      <c r="G234" t="inlineStr">
        <is>
          <t>SKÖVDE</t>
        </is>
      </c>
      <c r="H234" t="inlineStr">
        <is>
          <t>Övriga statliga verk och myndigheter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46275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Övriga statliga verk och myndigheter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63729-2025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46275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Övriga statliga verk och myndigheter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46275</v>
      </c>
      <c r="F237" t="inlineStr">
        <is>
          <t>VÄSTRA GÖTALANDS LÄN</t>
        </is>
      </c>
      <c r="G237" t="inlineStr">
        <is>
          <t>SKÖVDE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46275</v>
      </c>
      <c r="F238" t="inlineStr">
        <is>
          <t>VÄSTRA GÖTALANDS LÄN</t>
        </is>
      </c>
      <c r="G238" t="inlineStr">
        <is>
          <t>SKÖVDE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46275</v>
      </c>
      <c r="F239" t="inlineStr">
        <is>
          <t>VÄSTRA GÖTALANDS LÄN</t>
        </is>
      </c>
      <c r="G239" t="inlineStr">
        <is>
          <t>SKÖVDE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12719-2026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46091</v>
      </c>
      <c r="E240" s="1" t="n">
        <v>46275</v>
      </c>
      <c r="F240" t="inlineStr">
        <is>
          <t>VÄSTRA GÖTALANDS LÄN</t>
        </is>
      </c>
      <c r="G240" t="inlineStr">
        <is>
          <t>SKÖVDE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14281-2026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46099</v>
      </c>
      <c r="E241" s="1" t="n">
        <v>46275</v>
      </c>
      <c r="F241" t="inlineStr">
        <is>
          <t>VÄSTRA GÖTALANDS LÄN</t>
        </is>
      </c>
      <c r="G241" t="inlineStr">
        <is>
          <t>SKÖVDE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46275</v>
      </c>
      <c r="F242" t="inlineStr">
        <is>
          <t>VÄSTRA GÖTALANDS LÄN</t>
        </is>
      </c>
      <c r="G242" t="inlineStr">
        <is>
          <t>SKÖVDE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45847</v>
      </c>
      <c r="E243" s="1" t="n">
        <v>46275</v>
      </c>
      <c r="F243" t="inlineStr">
        <is>
          <t>VÄSTRA GÖTALANDS LÄN</t>
        </is>
      </c>
      <c r="G243" t="inlineStr">
        <is>
          <t>SKÖVDE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45693</v>
      </c>
      <c r="E244" s="1" t="n">
        <v>46275</v>
      </c>
      <c r="F244" t="inlineStr">
        <is>
          <t>VÄSTRA GÖTALANDS LÄN</t>
        </is>
      </c>
      <c r="G244" t="inlineStr">
        <is>
          <t>SKÖVDE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45376</v>
      </c>
      <c r="E245" s="1" t="n">
        <v>46275</v>
      </c>
      <c r="F245" t="inlineStr">
        <is>
          <t>VÄSTRA GÖTALANDS LÄN</t>
        </is>
      </c>
      <c r="G245" t="inlineStr">
        <is>
          <t>SKÖVDE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45685</v>
      </c>
      <c r="E246" s="1" t="n">
        <v>46275</v>
      </c>
      <c r="F246" t="inlineStr">
        <is>
          <t>VÄSTRA GÖTALANDS LÄN</t>
        </is>
      </c>
      <c r="G246" t="inlineStr">
        <is>
          <t>SKÖVDE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21687-2026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46149</v>
      </c>
      <c r="E247" s="1" t="n">
        <v>46275</v>
      </c>
      <c r="F247" t="inlineStr">
        <is>
          <t>VÄSTRA GÖTALANDS LÄN</t>
        </is>
      </c>
      <c r="G247" t="inlineStr">
        <is>
          <t>SKÖVDE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46139</v>
      </c>
      <c r="E248" s="1" t="n">
        <v>46275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45267</v>
      </c>
      <c r="E249" s="1" t="n">
        <v>46275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46038</v>
      </c>
      <c r="E250" s="1" t="n">
        <v>46275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46275</v>
      </c>
      <c r="F251" t="inlineStr">
        <is>
          <t>VÄSTRA GÖTALANDS LÄN</t>
        </is>
      </c>
      <c r="G251" t="inlineStr">
        <is>
          <t>SKÖVDE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46275</v>
      </c>
      <c r="F252" t="inlineStr">
        <is>
          <t>VÄSTRA GÖTALANDS LÄN</t>
        </is>
      </c>
      <c r="G252" t="inlineStr">
        <is>
          <t>SKÖVDE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46182</v>
      </c>
      <c r="E253" s="1" t="n">
        <v>46275</v>
      </c>
      <c r="F253" t="inlineStr">
        <is>
          <t>VÄSTRA GÖTALANDS LÄN</t>
        </is>
      </c>
      <c r="G253" t="inlineStr">
        <is>
          <t>SKÖVDE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26914-2026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46185</v>
      </c>
      <c r="E254" s="1" t="n">
        <v>46275</v>
      </c>
      <c r="F254" t="inlineStr">
        <is>
          <t>VÄSTRA GÖTALANDS LÄN</t>
        </is>
      </c>
      <c r="G254" t="inlineStr">
        <is>
          <t>SKÖVDE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46275</v>
      </c>
      <c r="F255" t="inlineStr">
        <is>
          <t>VÄSTRA GÖTALANDS LÄN</t>
        </is>
      </c>
      <c r="G255" t="inlineStr">
        <is>
          <t>SKÖVDE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46253</v>
      </c>
      <c r="E256" s="1" t="n">
        <v>46275</v>
      </c>
      <c r="F256" t="inlineStr">
        <is>
          <t>VÄSTRA GÖTALANDS LÄN</t>
        </is>
      </c>
      <c r="G256" t="inlineStr">
        <is>
          <t>SKÖVDE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46129</v>
      </c>
      <c r="E257" s="1" t="n">
        <v>46275</v>
      </c>
      <c r="F257" t="inlineStr">
        <is>
          <t>VÄSTRA GÖTALANDS LÄN</t>
        </is>
      </c>
      <c r="G257" t="inlineStr">
        <is>
          <t>SKÖVDE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46272</v>
      </c>
      <c r="E258" s="1" t="n">
        <v>46275</v>
      </c>
      <c r="F258" t="inlineStr">
        <is>
          <t>VÄSTRA GÖTALANDS LÄN</t>
        </is>
      </c>
      <c r="G258" t="inlineStr">
        <is>
          <t>SKÖVDE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46269</v>
      </c>
      <c r="E259" s="1" t="n">
        <v>46275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46275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46275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2026-09-10T02:14:07Z</dcterms:created>
  <dcterms:modified xmlns:dcterms="http://purl.org/dc/terms/" xmlns:xsi="http://www.w3.org/2001/XMLSchema-instance" xsi:type="dcterms:W3CDTF">2026-09-10T02:14:07Z</dcterms:modified>
</cp:coreProperties>
</file>