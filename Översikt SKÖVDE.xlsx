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46262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46262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46262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46262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46262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46262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46262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46262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46262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46262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46262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46262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46262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46262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46262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36627-2022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44804</v>
      </c>
      <c r="E25" s="1" t="n">
        <v>46262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Skogsalm
Myskbock
Kråka</t>
        </is>
      </c>
      <c r="W25">
        <f>HYPERLINK("https://klasma.github.io/Logging_1496/artfynd/A 36627-2022 artfynd.xlsx", "A 36627-2022")</f>
        <v/>
      </c>
      <c r="X25">
        <f>HYPERLINK("https://klasma.github.io/Logging_1496/kartor/A 36627-2022 karta.png", "A 36627-2022")</f>
        <v/>
      </c>
      <c r="Y25">
        <f>HYPERLINK("https://klasma.github.io/Logging_1496/kartor_geotiff/A 36627-2022 georefererad karta.tif", "A 36627-2022")</f>
        <v/>
      </c>
      <c r="AA25">
        <f>HYPERLINK("https://klasma.github.io/Logging_1496/klagomål/A 36627-2022 FSC-klagomål.docx", "A 36627-2022")</f>
        <v/>
      </c>
      <c r="AB25">
        <f>HYPERLINK("https://klasma.github.io/Logging_1496/klagomålsmail/A 36627-2022 FSC-klagomål mail.docx", "A 36627-2022")</f>
        <v/>
      </c>
      <c r="AC25">
        <f>HYPERLINK("https://klasma.github.io/Logging_1496/tillsyn/A 36627-2022 tillsynsbegäran.docx", "A 36627-2022")</f>
        <v/>
      </c>
      <c r="AD25">
        <f>HYPERLINK("https://klasma.github.io/Logging_1496/tillsynsmail/A 36627-2022 tillsynsbegäran mail.docx", "A 36627-2022")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46262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46262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46262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46262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27109-2024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46262</v>
      </c>
      <c r="F31" t="inlineStr">
        <is>
          <t>VÄSTRA GÖTALANDS LÄN</t>
        </is>
      </c>
      <c r="G31" t="inlineStr">
        <is>
          <t>SKÖVDE</t>
        </is>
      </c>
      <c r="I31" t="n">
        <v>2.7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Backstarr
Jungfrulin</t>
        </is>
      </c>
      <c r="W31">
        <f>HYPERLINK("https://klasma.github.io/Logging_1496/artfynd/A 27109-2024 artfynd.xlsx", "A 27109-2024")</f>
        <v/>
      </c>
      <c r="X31">
        <f>HYPERLINK("https://klasma.github.io/Logging_1496/kartor/A 27109-2024 karta.png", "A 27109-2024")</f>
        <v/>
      </c>
      <c r="Y31">
        <f>HYPERLINK("https://klasma.github.io/Logging_1496/kartor_geotiff/A 27109-2024 georefererad karta.tif", "A 27109-2024")</f>
        <v/>
      </c>
      <c r="AA31">
        <f>HYPERLINK("https://klasma.github.io/Logging_1496/klagomål/A 27109-2024 FSC-klagomål.docx", "A 27109-2024")</f>
        <v/>
      </c>
      <c r="AB31">
        <f>HYPERLINK("https://klasma.github.io/Logging_1496/klagomålsmail/A 27109-2024 FSC-klagomål mail.docx", "A 27109-2024")</f>
        <v/>
      </c>
      <c r="AC31">
        <f>HYPERLINK("https://klasma.github.io/Logging_1496/tillsyn/A 27109-2024 tillsynsbegäran.docx", "A 27109-2024")</f>
        <v/>
      </c>
      <c r="AD31">
        <f>HYPERLINK("https://klasma.github.io/Logging_1496/tillsynsmail/A 27109-2024 tillsynsbegäran mail.docx", "A 27109-2024")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46262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46262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42017-2025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46262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Borsttåg
Mattlummer</t>
        </is>
      </c>
      <c r="W34">
        <f>HYPERLINK("https://klasma.github.io/Logging_1496/artfynd/A 42017-2025 artfynd.xlsx", "A 42017-2025")</f>
        <v/>
      </c>
      <c r="X34">
        <f>HYPERLINK("https://klasma.github.io/Logging_1496/kartor/A 42017-2025 karta.png", "A 42017-2025")</f>
        <v/>
      </c>
      <c r="Y34">
        <f>HYPERLINK("https://klasma.github.io/Logging_1496/kartor_geotiff/A 42017-2025 georefererad karta.tif", "A 42017-2025")</f>
        <v/>
      </c>
      <c r="AA34">
        <f>HYPERLINK("https://klasma.github.io/Logging_1496/klagomål/A 42017-2025 FSC-klagomål.docx", "A 42017-2025")</f>
        <v/>
      </c>
      <c r="AB34">
        <f>HYPERLINK("https://klasma.github.io/Logging_1496/klagomålsmail/A 42017-2025 FSC-klagomål mail.docx", "A 42017-2025")</f>
        <v/>
      </c>
      <c r="AC34">
        <f>HYPERLINK("https://klasma.github.io/Logging_1496/tillsyn/A 42017-2025 tillsynsbegäran.docx", "A 42017-2025")</f>
        <v/>
      </c>
      <c r="AD34">
        <f>HYPERLINK("https://klasma.github.io/Logging_1496/tillsynsmail/A 42017-2025 tillsynsbegäran mail.docx", "A 42017-2025")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46262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46262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10610-2023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44988</v>
      </c>
      <c r="E37" s="1" t="n">
        <v>46262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Vanlig groda
Revlummer</t>
        </is>
      </c>
      <c r="W37">
        <f>HYPERLINK("https://klasma.github.io/Logging_1496/artfynd/A 10610-2023 artfynd.xlsx", "A 10610-2023")</f>
        <v/>
      </c>
      <c r="X37">
        <f>HYPERLINK("https://klasma.github.io/Logging_1496/kartor/A 10610-2023 karta.png", "A 10610-2023")</f>
        <v/>
      </c>
      <c r="Y37">
        <f>HYPERLINK("https://klasma.github.io/Logging_1496/kartor_geotiff/A 10610-2023 georefererad karta.tif", "A 10610-2023")</f>
        <v/>
      </c>
      <c r="AA37">
        <f>HYPERLINK("https://klasma.github.io/Logging_1496/klagomål/A 10610-2023 FSC-klagomål.docx", "A 10610-2023")</f>
        <v/>
      </c>
      <c r="AB37">
        <f>HYPERLINK("https://klasma.github.io/Logging_1496/klagomålsmail/A 10610-2023 FSC-klagomål mail.docx", "A 10610-2023")</f>
        <v/>
      </c>
      <c r="AC37">
        <f>HYPERLINK("https://klasma.github.io/Logging_1496/tillsyn/A 10610-2023 tillsynsbegäran.docx", "A 10610-2023")</f>
        <v/>
      </c>
      <c r="AD37">
        <f>HYPERLINK("https://klasma.github.io/Logging_1496/tillsynsmail/A 10610-2023 tillsynsbegäran mail.docx", "A 10610-2023")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46262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46262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60172-2021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46262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Skogsbräsma
Fläcknycklar</t>
        </is>
      </c>
      <c r="W40">
        <f>HYPERLINK("https://klasma.github.io/Logging_1496/artfynd/A 60172-2021 artfynd.xlsx", "A 60172-2021")</f>
        <v/>
      </c>
      <c r="X40">
        <f>HYPERLINK("https://klasma.github.io/Logging_1496/kartor/A 60172-2021 karta.png", "A 60172-2021")</f>
        <v/>
      </c>
      <c r="Y40">
        <f>HYPERLINK("https://klasma.github.io/Logging_1496/kartor_geotiff/A 60172-2021 georefererad karta.tif", "A 60172-2021")</f>
        <v/>
      </c>
      <c r="AA40">
        <f>HYPERLINK("https://klasma.github.io/Logging_1496/klagomål/A 60172-2021 FSC-klagomål.docx", "A 60172-2021")</f>
        <v/>
      </c>
      <c r="AB40">
        <f>HYPERLINK("https://klasma.github.io/Logging_1496/klagomålsmail/A 60172-2021 FSC-klagomål mail.docx", "A 60172-2021")</f>
        <v/>
      </c>
      <c r="AC40">
        <f>HYPERLINK("https://klasma.github.io/Logging_1496/tillsyn/A 60172-2021 tillsynsbegäran.docx", "A 60172-2021")</f>
        <v/>
      </c>
      <c r="AD40">
        <f>HYPERLINK("https://klasma.github.io/Logging_1496/tillsynsmail/A 60172-2021 tillsynsbegäran mail.docx", "A 60172-2021")</f>
        <v/>
      </c>
    </row>
    <row r="41" ht="15" customHeight="1">
      <c r="A41" t="inlineStr">
        <is>
          <t>A 29222-2022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46262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Lundbräsma
Strutbräken</t>
        </is>
      </c>
      <c r="W41">
        <f>HYPERLINK("https://klasma.github.io/Logging_1496/artfynd/A 29222-2022 artfynd.xlsx", "A 29222-2022")</f>
        <v/>
      </c>
      <c r="X41">
        <f>HYPERLINK("https://klasma.github.io/Logging_1496/kartor/A 29222-2022 karta.png", "A 29222-2022")</f>
        <v/>
      </c>
      <c r="Y41">
        <f>HYPERLINK("https://klasma.github.io/Logging_1496/kartor_geotiff/A 29222-2022 georefererad karta.tif", "A 29222-2022")</f>
        <v/>
      </c>
      <c r="AA41">
        <f>HYPERLINK("https://klasma.github.io/Logging_1496/klagomål/A 29222-2022 FSC-klagomål.docx", "A 29222-2022")</f>
        <v/>
      </c>
      <c r="AB41">
        <f>HYPERLINK("https://klasma.github.io/Logging_1496/klagomålsmail/A 29222-2022 FSC-klagomål mail.docx", "A 29222-2022")</f>
        <v/>
      </c>
      <c r="AC41">
        <f>HYPERLINK("https://klasma.github.io/Logging_1496/tillsyn/A 29222-2022 tillsynsbegäran.docx", "A 29222-2022")</f>
        <v/>
      </c>
      <c r="AD41">
        <f>HYPERLINK("https://klasma.github.io/Logging_1496/tillsynsmail/A 29222-2022 tillsynsbegäran mail.docx", "A 29222-2022")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46262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46262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46262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46262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46262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46262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46262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46262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46262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46262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46262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46262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46262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46262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3951-2024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46262</v>
      </c>
      <c r="F56" t="inlineStr">
        <is>
          <t>VÄSTRA GÖTALANDS LÄN</t>
        </is>
      </c>
      <c r="G56" t="inlineStr">
        <is>
          <t>SKÖVDE</t>
        </is>
      </c>
      <c r="I56" t="n">
        <v>10.7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3951-2024 artfynd.xlsx", "A 3951-2024")</f>
        <v/>
      </c>
      <c r="X56">
        <f>HYPERLINK("https://klasma.github.io/Logging_1496/kartor/A 3951-2024 karta.png", "A 3951-2024")</f>
        <v/>
      </c>
      <c r="Y56">
        <f>HYPERLINK("https://klasma.github.io/Logging_1496/kartor_geotiff/A 3951-2024 georefererad karta.tif", "A 3951-2024")</f>
        <v/>
      </c>
      <c r="AA56">
        <f>HYPERLINK("https://klasma.github.io/Logging_1496/klagomål/A 3951-2024 FSC-klagomål.docx", "A 3951-2024")</f>
        <v/>
      </c>
      <c r="AB56">
        <f>HYPERLINK("https://klasma.github.io/Logging_1496/klagomålsmail/A 3951-2024 FSC-klagomål mail.docx", "A 3951-2024")</f>
        <v/>
      </c>
      <c r="AC56">
        <f>HYPERLINK("https://klasma.github.io/Logging_1496/tillsyn/A 3951-2024 tillsynsbegäran.docx", "A 3951-2024")</f>
        <v/>
      </c>
      <c r="AD56">
        <f>HYPERLINK("https://klasma.github.io/Logging_1496/tillsynsmail/A 3951-2024 tillsynsbegäran mail.docx", "A 3951-2024")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46262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46262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46262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46262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46262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46262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46262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46262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46262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46262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46262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46262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46262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46262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46262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46262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46262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46262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46262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46262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46262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46262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46262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46262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46262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46262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46262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46262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46262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44959</v>
      </c>
      <c r="E88" s="1" t="n">
        <v>46262</v>
      </c>
      <c r="F88" t="inlineStr">
        <is>
          <t>VÄSTRA GÖTALANDS LÄN</t>
        </is>
      </c>
      <c r="G88" t="inlineStr">
        <is>
          <t>SKÖVDE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46262</v>
      </c>
      <c r="F89" t="inlineStr">
        <is>
          <t>VÄSTRA GÖTALANDS LÄN</t>
        </is>
      </c>
      <c r="G89" t="inlineStr">
        <is>
          <t>SKÖVDE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46262</v>
      </c>
      <c r="F90" t="inlineStr">
        <is>
          <t>VÄSTRA GÖTALANDS LÄN</t>
        </is>
      </c>
      <c r="G90" t="inlineStr">
        <is>
          <t>SKÖVDE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46262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46262</v>
      </c>
      <c r="F92" t="inlineStr">
        <is>
          <t>VÄSTRA GÖTALANDS LÄN</t>
        </is>
      </c>
      <c r="G92" t="inlineStr">
        <is>
          <t>SKÖVDE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46262</v>
      </c>
      <c r="F93" t="inlineStr">
        <is>
          <t>VÄSTRA GÖTALANDS LÄN</t>
        </is>
      </c>
      <c r="G93" t="inlineStr">
        <is>
          <t>SKÖVDE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46262</v>
      </c>
      <c r="F94" t="inlineStr">
        <is>
          <t>VÄSTRA GÖTALANDS LÄN</t>
        </is>
      </c>
      <c r="G94" t="inlineStr">
        <is>
          <t>SKÖVDE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46262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45715</v>
      </c>
      <c r="E96" s="1" t="n">
        <v>46262</v>
      </c>
      <c r="F96" t="inlineStr">
        <is>
          <t>VÄSTRA GÖTALANDS LÄN</t>
        </is>
      </c>
      <c r="G96" t="inlineStr">
        <is>
          <t>SKÖVDE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46262</v>
      </c>
      <c r="F97" t="inlineStr">
        <is>
          <t>VÄSTRA GÖTALANDS LÄN</t>
        </is>
      </c>
      <c r="G97" t="inlineStr">
        <is>
          <t>SKÖVDE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45710</v>
      </c>
      <c r="E98" s="1" t="n">
        <v>46262</v>
      </c>
      <c r="F98" t="inlineStr">
        <is>
          <t>VÄSTRA GÖTALANDS LÄN</t>
        </is>
      </c>
      <c r="G98" t="inlineStr">
        <is>
          <t>SKÖVDE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46262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Kyrkan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45792</v>
      </c>
      <c r="E100" s="1" t="n">
        <v>46262</v>
      </c>
      <c r="F100" t="inlineStr">
        <is>
          <t>VÄSTRA GÖTALANDS LÄN</t>
        </is>
      </c>
      <c r="G100" t="inlineStr">
        <is>
          <t>SKÖVDE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45334</v>
      </c>
      <c r="E101" s="1" t="n">
        <v>46262</v>
      </c>
      <c r="F101" t="inlineStr">
        <is>
          <t>VÄSTRA GÖTALANDS LÄN</t>
        </is>
      </c>
      <c r="G101" t="inlineStr">
        <is>
          <t>SKÖVDE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52172-2025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46262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46262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46262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45853</v>
      </c>
      <c r="E105" s="1" t="n">
        <v>46262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45539</v>
      </c>
      <c r="E106" s="1" t="n">
        <v>46262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46262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46262</v>
      </c>
      <c r="F108" t="inlineStr">
        <is>
          <t>VÄSTRA GÖTALANDS LÄN</t>
        </is>
      </c>
      <c r="G108" t="inlineStr">
        <is>
          <t>SKÖVDE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46262</v>
      </c>
      <c r="F109" t="inlineStr">
        <is>
          <t>VÄSTRA GÖTALANDS LÄN</t>
        </is>
      </c>
      <c r="G109" t="inlineStr">
        <is>
          <t>SKÖVDE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46262</v>
      </c>
      <c r="F110" t="inlineStr">
        <is>
          <t>VÄSTRA GÖTALANDS LÄN</t>
        </is>
      </c>
      <c r="G110" t="inlineStr">
        <is>
          <t>SKÖVDE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46262</v>
      </c>
      <c r="F111" t="inlineStr">
        <is>
          <t>VÄSTRA GÖTALANDS LÄN</t>
        </is>
      </c>
      <c r="G111" t="inlineStr">
        <is>
          <t>SKÖVDE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46262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45721</v>
      </c>
      <c r="E113" s="1" t="n">
        <v>46262</v>
      </c>
      <c r="F113" t="inlineStr">
        <is>
          <t>VÄSTRA GÖTALANDS LÄN</t>
        </is>
      </c>
      <c r="G113" t="inlineStr">
        <is>
          <t>SKÖVDE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46262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46262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46262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46262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25642-2025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45803</v>
      </c>
      <c r="E118" s="1" t="n">
        <v>46262</v>
      </c>
      <c r="F118" t="inlineStr">
        <is>
          <t>VÄSTRA GÖTALANDS LÄN</t>
        </is>
      </c>
      <c r="G118" t="inlineStr">
        <is>
          <t>SKÖVDE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44601</v>
      </c>
      <c r="E119" s="1" t="n">
        <v>46262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46262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25639-2025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45800</v>
      </c>
      <c r="E121" s="1" t="n">
        <v>46262</v>
      </c>
      <c r="F121" t="inlineStr">
        <is>
          <t>VÄSTRA GÖTALANDS LÄN</t>
        </is>
      </c>
      <c r="G121" t="inlineStr">
        <is>
          <t>SKÖVDE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46262</v>
      </c>
      <c r="F122" t="inlineStr">
        <is>
          <t>VÄSTRA GÖTALANDS LÄN</t>
        </is>
      </c>
      <c r="G122" t="inlineStr">
        <is>
          <t>SKÖVDE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46262</v>
      </c>
      <c r="F123" t="inlineStr">
        <is>
          <t>VÄSTRA GÖTALANDS LÄN</t>
        </is>
      </c>
      <c r="G123" t="inlineStr">
        <is>
          <t>SKÖVDE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46262</v>
      </c>
      <c r="F124" t="inlineStr">
        <is>
          <t>VÄSTRA GÖTALANDS LÄN</t>
        </is>
      </c>
      <c r="G124" t="inlineStr">
        <is>
          <t>SKÖVDE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46262</v>
      </c>
      <c r="F125" t="inlineStr">
        <is>
          <t>VÄSTRA GÖTALANDS LÄN</t>
        </is>
      </c>
      <c r="G125" t="inlineStr">
        <is>
          <t>SKÖVDE</t>
        </is>
      </c>
      <c r="I125" t="n">
        <v>12.3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46262</v>
      </c>
      <c r="F126" t="inlineStr">
        <is>
          <t>VÄSTRA GÖTALANDS LÄN</t>
        </is>
      </c>
      <c r="G126" t="inlineStr">
        <is>
          <t>SKÖVDE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46262</v>
      </c>
      <c r="F127" t="inlineStr">
        <is>
          <t>VÄSTRA GÖTALANDS LÄN</t>
        </is>
      </c>
      <c r="G127" t="inlineStr">
        <is>
          <t>SKÖVDE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46262</v>
      </c>
      <c r="F128" t="inlineStr">
        <is>
          <t>VÄSTRA GÖTALANDS LÄN</t>
        </is>
      </c>
      <c r="G128" t="inlineStr">
        <is>
          <t>SKÖVDE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46262</v>
      </c>
      <c r="F129" t="inlineStr">
        <is>
          <t>VÄSTRA GÖTALANDS LÄN</t>
        </is>
      </c>
      <c r="G129" t="inlineStr">
        <is>
          <t>SKÖVDE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46262</v>
      </c>
      <c r="F130" t="inlineStr">
        <is>
          <t>VÄSTRA GÖTALANDS LÄN</t>
        </is>
      </c>
      <c r="G130" t="inlineStr">
        <is>
          <t>SKÖVDE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46262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46262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46262</v>
      </c>
      <c r="F133" t="inlineStr">
        <is>
          <t>VÄSTRA GÖTALANDS LÄN</t>
        </is>
      </c>
      <c r="G133" t="inlineStr">
        <is>
          <t>SKÖVDE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46262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46262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46262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46262</v>
      </c>
      <c r="F137" t="inlineStr">
        <is>
          <t>VÄSTRA GÖTALANDS LÄN</t>
        </is>
      </c>
      <c r="G137" t="inlineStr">
        <is>
          <t>SKÖVDE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46262</v>
      </c>
      <c r="F138" t="inlineStr">
        <is>
          <t>VÄSTRA GÖTALANDS LÄN</t>
        </is>
      </c>
      <c r="G138" t="inlineStr">
        <is>
          <t>SKÖVDE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45840</v>
      </c>
      <c r="E139" s="1" t="n">
        <v>46262</v>
      </c>
      <c r="F139" t="inlineStr">
        <is>
          <t>VÄSTRA GÖTALANDS LÄN</t>
        </is>
      </c>
      <c r="G139" t="inlineStr">
        <is>
          <t>SKÖVDE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46262</v>
      </c>
      <c r="F140" t="inlineStr">
        <is>
          <t>VÄSTRA GÖTALANDS LÄN</t>
        </is>
      </c>
      <c r="G140" t="inlineStr">
        <is>
          <t>SKÖVDE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46262</v>
      </c>
      <c r="F141" t="inlineStr">
        <is>
          <t>VÄSTRA GÖTALANDS LÄN</t>
        </is>
      </c>
      <c r="G141" t="inlineStr">
        <is>
          <t>SKÖVDE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46262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45846</v>
      </c>
      <c r="E143" s="1" t="n">
        <v>46262</v>
      </c>
      <c r="F143" t="inlineStr">
        <is>
          <t>VÄSTRA GÖTALANDS LÄN</t>
        </is>
      </c>
      <c r="G143" t="inlineStr">
        <is>
          <t>SKÖVDE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46262</v>
      </c>
      <c r="F144" t="inlineStr">
        <is>
          <t>VÄSTRA GÖTALANDS LÄN</t>
        </is>
      </c>
      <c r="G144" t="inlineStr">
        <is>
          <t>SKÖVDE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46262</v>
      </c>
      <c r="F145" t="inlineStr">
        <is>
          <t>VÄSTRA GÖTALANDS LÄN</t>
        </is>
      </c>
      <c r="G145" t="inlineStr">
        <is>
          <t>SKÖVDE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46262</v>
      </c>
      <c r="F146" t="inlineStr">
        <is>
          <t>VÄSTRA GÖTALANDS LÄN</t>
        </is>
      </c>
      <c r="G146" t="inlineStr">
        <is>
          <t>SKÖVDE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46262</v>
      </c>
      <c r="F147" t="inlineStr">
        <is>
          <t>VÄSTRA GÖTALANDS LÄN</t>
        </is>
      </c>
      <c r="G147" t="inlineStr">
        <is>
          <t>SKÖVDE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67134-2021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46262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46262</v>
      </c>
      <c r="F149" t="inlineStr">
        <is>
          <t>VÄSTRA GÖTALANDS LÄN</t>
        </is>
      </c>
      <c r="G149" t="inlineStr">
        <is>
          <t>SKÖVDE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46262</v>
      </c>
      <c r="F150" t="inlineStr">
        <is>
          <t>VÄSTRA GÖTALANDS LÄN</t>
        </is>
      </c>
      <c r="G150" t="inlineStr">
        <is>
          <t>SKÖVDE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46262</v>
      </c>
      <c r="F151" t="inlineStr">
        <is>
          <t>VÄSTRA GÖTALANDS LÄN</t>
        </is>
      </c>
      <c r="G151" t="inlineStr">
        <is>
          <t>SKÖVDE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46262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46262</v>
      </c>
      <c r="F153" t="inlineStr">
        <is>
          <t>VÄSTRA GÖTALANDS LÄN</t>
        </is>
      </c>
      <c r="G153" t="inlineStr">
        <is>
          <t>SKÖVDE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46262</v>
      </c>
      <c r="F154" t="inlineStr">
        <is>
          <t>VÄSTRA GÖTALANDS LÄN</t>
        </is>
      </c>
      <c r="G154" t="inlineStr">
        <is>
          <t>SKÖVDE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46262</v>
      </c>
      <c r="F155" t="inlineStr">
        <is>
          <t>VÄSTRA GÖTALANDS LÄN</t>
        </is>
      </c>
      <c r="G155" t="inlineStr">
        <is>
          <t>SKÖVDE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46262</v>
      </c>
      <c r="F156" t="inlineStr">
        <is>
          <t>VÄSTRA GÖTALANDS LÄN</t>
        </is>
      </c>
      <c r="G156" t="inlineStr">
        <is>
          <t>SKÖVDE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46262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62803-2025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46008</v>
      </c>
      <c r="E158" s="1" t="n">
        <v>46262</v>
      </c>
      <c r="F158" t="inlineStr">
        <is>
          <t>VÄSTRA GÖTALANDS LÄN</t>
        </is>
      </c>
      <c r="G158" t="inlineStr">
        <is>
          <t>SKÖVDE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44862</v>
      </c>
      <c r="E159" s="1" t="n">
        <v>46262</v>
      </c>
      <c r="F159" t="inlineStr">
        <is>
          <t>VÄSTRA GÖTALANDS LÄN</t>
        </is>
      </c>
      <c r="G159" t="inlineStr">
        <is>
          <t>SKÖVDE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46262</v>
      </c>
      <c r="F160" t="inlineStr">
        <is>
          <t>VÄSTRA GÖTALANDS LÄN</t>
        </is>
      </c>
      <c r="G160" t="inlineStr">
        <is>
          <t>SKÖVDE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46013</v>
      </c>
      <c r="E161" s="1" t="n">
        <v>46262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63751-2025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46017</v>
      </c>
      <c r="E162" s="1" t="n">
        <v>46262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60588-2023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45259</v>
      </c>
      <c r="E163" s="1" t="n">
        <v>46262</v>
      </c>
      <c r="F163" t="inlineStr">
        <is>
          <t>VÄSTRA GÖTALANDS LÄN</t>
        </is>
      </c>
      <c r="G163" t="inlineStr">
        <is>
          <t>SKÖVDE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46262</v>
      </c>
      <c r="F164" t="inlineStr">
        <is>
          <t>VÄSTRA GÖTALANDS LÄN</t>
        </is>
      </c>
      <c r="G164" t="inlineStr">
        <is>
          <t>SKÖVDE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45267</v>
      </c>
      <c r="E165" s="1" t="n">
        <v>46262</v>
      </c>
      <c r="F165" t="inlineStr">
        <is>
          <t>VÄSTRA GÖTALANDS LÄN</t>
        </is>
      </c>
      <c r="G165" t="inlineStr">
        <is>
          <t>SKÖVDE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46262</v>
      </c>
      <c r="F166" t="inlineStr">
        <is>
          <t>VÄSTRA GÖTALANDS LÄN</t>
        </is>
      </c>
      <c r="G166" t="inlineStr">
        <is>
          <t>SKÖVDE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46262</v>
      </c>
      <c r="F167" t="inlineStr">
        <is>
          <t>VÄSTRA GÖTALANDS LÄN</t>
        </is>
      </c>
      <c r="G167" t="inlineStr">
        <is>
          <t>SKÖVDE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45301</v>
      </c>
      <c r="E168" s="1" t="n">
        <v>46262</v>
      </c>
      <c r="F168" t="inlineStr">
        <is>
          <t>VÄSTRA GÖTALANDS LÄN</t>
        </is>
      </c>
      <c r="G168" t="inlineStr">
        <is>
          <t>SKÖVDE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46262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46262</v>
      </c>
      <c r="F170" t="inlineStr">
        <is>
          <t>VÄSTRA GÖTALANDS LÄN</t>
        </is>
      </c>
      <c r="G170" t="inlineStr">
        <is>
          <t>SKÖVDE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6092-2026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46052</v>
      </c>
      <c r="E171" s="1" t="n">
        <v>46262</v>
      </c>
      <c r="F171" t="inlineStr">
        <is>
          <t>VÄSTRA GÖTALANDS LÄN</t>
        </is>
      </c>
      <c r="G171" t="inlineStr">
        <is>
          <t>SKÖVDE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46262</v>
      </c>
      <c r="F172" t="inlineStr">
        <is>
          <t>VÄSTRA GÖTALANDS LÄN</t>
        </is>
      </c>
      <c r="G172" t="inlineStr">
        <is>
          <t>SKÖVDE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46262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46262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Övriga statliga verk och myndigheter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44586</v>
      </c>
      <c r="E175" s="1" t="n">
        <v>46262</v>
      </c>
      <c r="F175" t="inlineStr">
        <is>
          <t>VÄSTRA GÖTALANDS LÄN</t>
        </is>
      </c>
      <c r="G175" t="inlineStr">
        <is>
          <t>SKÖVDE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46262</v>
      </c>
      <c r="F176" t="inlineStr">
        <is>
          <t>VÄSTRA GÖTALANDS LÄN</t>
        </is>
      </c>
      <c r="G176" t="inlineStr">
        <is>
          <t>SKÖVDE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46262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Övriga statliga verk och myndigheter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46009</v>
      </c>
      <c r="E178" s="1" t="n">
        <v>46262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Övriga statliga verk och myndigheter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46262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46262</v>
      </c>
      <c r="F180" t="inlineStr">
        <is>
          <t>VÄSTRA GÖTALANDS LÄN</t>
        </is>
      </c>
      <c r="G180" t="inlineStr">
        <is>
          <t>SKÖVDE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35280-2024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45530</v>
      </c>
      <c r="E181" s="1" t="n">
        <v>46262</v>
      </c>
      <c r="F181" t="inlineStr">
        <is>
          <t>VÄSTRA GÖTALANDS LÄN</t>
        </is>
      </c>
      <c r="G181" t="inlineStr">
        <is>
          <t>SKÖVDE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45401</v>
      </c>
      <c r="E182" s="1" t="n">
        <v>46262</v>
      </c>
      <c r="F182" t="inlineStr">
        <is>
          <t>VÄSTRA GÖTALANDS LÄN</t>
        </is>
      </c>
      <c r="G182" t="inlineStr">
        <is>
          <t>SKÖVDE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44963</v>
      </c>
      <c r="E183" s="1" t="n">
        <v>46262</v>
      </c>
      <c r="F183" t="inlineStr">
        <is>
          <t>VÄSTRA GÖTALANDS LÄN</t>
        </is>
      </c>
      <c r="G183" t="inlineStr">
        <is>
          <t>SKÖVDE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46262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45138</v>
      </c>
      <c r="E185" s="1" t="n">
        <v>46262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45320</v>
      </c>
      <c r="E186" s="1" t="n">
        <v>46262</v>
      </c>
      <c r="F186" t="inlineStr">
        <is>
          <t>VÄSTRA GÖTALANDS LÄN</t>
        </is>
      </c>
      <c r="G186" t="inlineStr">
        <is>
          <t>SKÖVDE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60117-2021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44495</v>
      </c>
      <c r="E187" s="1" t="n">
        <v>46262</v>
      </c>
      <c r="F187" t="inlineStr">
        <is>
          <t>VÄSTRA GÖTALANDS LÄN</t>
        </is>
      </c>
      <c r="G187" t="inlineStr">
        <is>
          <t>SKÖVDE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12719-2026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46262</v>
      </c>
      <c r="F188" t="inlineStr">
        <is>
          <t>VÄSTRA GÖTALANDS LÄN</t>
        </is>
      </c>
      <c r="G188" t="inlineStr">
        <is>
          <t>SKÖVDE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46262</v>
      </c>
      <c r="F189" t="inlineStr">
        <is>
          <t>VÄSTRA GÖTALANDS LÄN</t>
        </is>
      </c>
      <c r="G189" t="inlineStr">
        <is>
          <t>SKÖVDE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46262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46262</v>
      </c>
      <c r="F191" t="inlineStr">
        <is>
          <t>VÄSTRA GÖTALANDS LÄN</t>
        </is>
      </c>
      <c r="G191" t="inlineStr">
        <is>
          <t>SKÖVDE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46099</v>
      </c>
      <c r="E192" s="1" t="n">
        <v>46262</v>
      </c>
      <c r="F192" t="inlineStr">
        <is>
          <t>VÄSTRA GÖTALANDS LÄN</t>
        </is>
      </c>
      <c r="G192" t="inlineStr">
        <is>
          <t>SKÖVDE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46262</v>
      </c>
      <c r="F193" t="inlineStr">
        <is>
          <t>VÄSTRA GÖTALANDS LÄN</t>
        </is>
      </c>
      <c r="G193" t="inlineStr">
        <is>
          <t>SKÖVDE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46262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46262</v>
      </c>
      <c r="F195" t="inlineStr">
        <is>
          <t>VÄSTRA GÖTALANDS LÄN</t>
        </is>
      </c>
      <c r="G195" t="inlineStr">
        <is>
          <t>SKÖVDE</t>
        </is>
      </c>
      <c r="I195" t="n">
        <v>11.7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46262</v>
      </c>
      <c r="F196" t="inlineStr">
        <is>
          <t>VÄSTRA GÖTALANDS LÄN</t>
        </is>
      </c>
      <c r="G196" t="inlineStr">
        <is>
          <t>SKÖVDE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46262</v>
      </c>
      <c r="F197" t="inlineStr">
        <is>
          <t>VÄSTRA GÖTALANDS LÄN</t>
        </is>
      </c>
      <c r="G197" t="inlineStr">
        <is>
          <t>SKÖVDE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45636</v>
      </c>
      <c r="E198" s="1" t="n">
        <v>46262</v>
      </c>
      <c r="F198" t="inlineStr">
        <is>
          <t>VÄSTRA GÖTALANDS LÄN</t>
        </is>
      </c>
      <c r="G198" t="inlineStr">
        <is>
          <t>SKÖVDE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45694</v>
      </c>
      <c r="E199" s="1" t="n">
        <v>46262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46262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46262</v>
      </c>
      <c r="F201" t="inlineStr">
        <is>
          <t>VÄSTRA GÖTALANDS LÄN</t>
        </is>
      </c>
      <c r="G201" t="inlineStr">
        <is>
          <t>SKÖVDE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45013</v>
      </c>
      <c r="E202" s="1" t="n">
        <v>46262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46262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46262</v>
      </c>
      <c r="F204" t="inlineStr">
        <is>
          <t>VÄSTRA GÖTALANDS LÄN</t>
        </is>
      </c>
      <c r="G204" t="inlineStr">
        <is>
          <t>SKÖVDE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34592-2025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46262</v>
      </c>
      <c r="F205" t="inlineStr">
        <is>
          <t>VÄSTRA GÖTALANDS LÄN</t>
        </is>
      </c>
      <c r="G205" t="inlineStr">
        <is>
          <t>SKÖVDE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46262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46262</v>
      </c>
      <c r="F207" t="inlineStr">
        <is>
          <t>VÄSTRA GÖTALANDS LÄN</t>
        </is>
      </c>
      <c r="G207" t="inlineStr">
        <is>
          <t>SKÖVDE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13669-2023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45006</v>
      </c>
      <c r="E208" s="1" t="n">
        <v>46262</v>
      </c>
      <c r="F208" t="inlineStr">
        <is>
          <t>VÄSTRA GÖTALANDS LÄN</t>
        </is>
      </c>
      <c r="G208" t="inlineStr">
        <is>
          <t>SKÖVDE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46262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46262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46262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46262</v>
      </c>
      <c r="F212" t="inlineStr">
        <is>
          <t>VÄSTRA GÖTALANDS LÄN</t>
        </is>
      </c>
      <c r="G212" t="inlineStr">
        <is>
          <t>SKÖVDE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44599</v>
      </c>
      <c r="E213" s="1" t="n">
        <v>46262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Kyrkan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44750</v>
      </c>
      <c r="E214" s="1" t="n">
        <v>46262</v>
      </c>
      <c r="F214" t="inlineStr">
        <is>
          <t>VÄSTRA GÖTALANDS LÄN</t>
        </is>
      </c>
      <c r="G214" t="inlineStr">
        <is>
          <t>SKÖVDE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46262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51886-2021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44462</v>
      </c>
      <c r="E216" s="1" t="n">
        <v>46262</v>
      </c>
      <c r="F216" t="inlineStr">
        <is>
          <t>VÄSTRA GÖTALANDS LÄN</t>
        </is>
      </c>
      <c r="G216" t="inlineStr">
        <is>
          <t>SKÖVDE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45105</v>
      </c>
      <c r="E217" s="1" t="n">
        <v>46262</v>
      </c>
      <c r="F217" t="inlineStr">
        <is>
          <t>VÄSTRA GÖTALANDS LÄN</t>
        </is>
      </c>
      <c r="G217" t="inlineStr">
        <is>
          <t>SKÖVDE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46149</v>
      </c>
      <c r="E218" s="1" t="n">
        <v>46262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45314</v>
      </c>
      <c r="E219" s="1" t="n">
        <v>46262</v>
      </c>
      <c r="F219" t="inlineStr">
        <is>
          <t>VÄSTRA GÖTALANDS LÄN</t>
        </is>
      </c>
      <c r="G219" t="inlineStr">
        <is>
          <t>SKÖVDE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46262</v>
      </c>
      <c r="F220" t="inlineStr">
        <is>
          <t>VÄSTRA GÖTALANDS LÄN</t>
        </is>
      </c>
      <c r="G220" t="inlineStr">
        <is>
          <t>SKÖVDE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46262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46262</v>
      </c>
      <c r="F222" t="inlineStr">
        <is>
          <t>VÄSTRA GÖTALANDS LÄN</t>
        </is>
      </c>
      <c r="G222" t="inlineStr">
        <is>
          <t>SKÖVDE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46262</v>
      </c>
      <c r="F223" t="inlineStr">
        <is>
          <t>VÄSTRA GÖTALANDS LÄN</t>
        </is>
      </c>
      <c r="G223" t="inlineStr">
        <is>
          <t>SKÖVDE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46262</v>
      </c>
      <c r="F224" t="inlineStr">
        <is>
          <t>VÄSTRA GÖTALANDS LÄN</t>
        </is>
      </c>
      <c r="G224" t="inlineStr">
        <is>
          <t>SKÖVDE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2901-2026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46038</v>
      </c>
      <c r="E225" s="1" t="n">
        <v>46262</v>
      </c>
      <c r="F225" t="inlineStr">
        <is>
          <t>VÄSTRA GÖTALANDS LÄN</t>
        </is>
      </c>
      <c r="G225" t="inlineStr">
        <is>
          <t>SKÖVDE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45299</v>
      </c>
      <c r="E226" s="1" t="n">
        <v>46262</v>
      </c>
      <c r="F226" t="inlineStr">
        <is>
          <t>VÄSTRA GÖTALANDS LÄN</t>
        </is>
      </c>
      <c r="G226" t="inlineStr">
        <is>
          <t>SKÖVDE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45169</v>
      </c>
      <c r="E227" s="1" t="n">
        <v>46262</v>
      </c>
      <c r="F227" t="inlineStr">
        <is>
          <t>VÄSTRA GÖTALANDS LÄN</t>
        </is>
      </c>
      <c r="G227" t="inlineStr">
        <is>
          <t>SKÖVDE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46262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46262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46262</v>
      </c>
      <c r="F230" t="inlineStr">
        <is>
          <t>VÄSTRA GÖTALANDS LÄN</t>
        </is>
      </c>
      <c r="G230" t="inlineStr">
        <is>
          <t>SKÖVDE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46262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46262</v>
      </c>
      <c r="F232" t="inlineStr">
        <is>
          <t>VÄSTRA GÖTALANDS LÄN</t>
        </is>
      </c>
      <c r="G232" t="inlineStr">
        <is>
          <t>SKÖVDE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45687</v>
      </c>
      <c r="E233" s="1" t="n">
        <v>46262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46262</v>
      </c>
      <c r="F234" t="inlineStr">
        <is>
          <t>VÄSTRA GÖTALANDS LÄN</t>
        </is>
      </c>
      <c r="G234" t="inlineStr">
        <is>
          <t>SKÖVDE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45134</v>
      </c>
      <c r="E235" s="1" t="n">
        <v>46262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46182</v>
      </c>
      <c r="E236" s="1" t="n">
        <v>46262</v>
      </c>
      <c r="F236" t="inlineStr">
        <is>
          <t>VÄSTRA GÖTALANDS LÄN</t>
        </is>
      </c>
      <c r="G236" t="inlineStr">
        <is>
          <t>SKÖVDE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46182</v>
      </c>
      <c r="E237" s="1" t="n">
        <v>46262</v>
      </c>
      <c r="F237" t="inlineStr">
        <is>
          <t>VÄSTRA GÖTALANDS LÄN</t>
        </is>
      </c>
      <c r="G237" t="inlineStr">
        <is>
          <t>SKÖVDE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26914-2026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46185</v>
      </c>
      <c r="E238" s="1" t="n">
        <v>46262</v>
      </c>
      <c r="F238" t="inlineStr">
        <is>
          <t>VÄSTRA GÖTALANDS LÄN</t>
        </is>
      </c>
      <c r="G238" t="inlineStr">
        <is>
          <t>SKÖVDE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45590</v>
      </c>
      <c r="E239" s="1" t="n">
        <v>46262</v>
      </c>
      <c r="F239" t="inlineStr">
        <is>
          <t>VÄSTRA GÖTALANDS LÄN</t>
        </is>
      </c>
      <c r="G239" t="inlineStr">
        <is>
          <t>SKÖVDE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17798-2024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45418</v>
      </c>
      <c r="E240" s="1" t="n">
        <v>46262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45301</v>
      </c>
      <c r="E241" s="1" t="n">
        <v>46262</v>
      </c>
      <c r="F241" t="inlineStr">
        <is>
          <t>VÄSTRA GÖTALANDS LÄN</t>
        </is>
      </c>
      <c r="G241" t="inlineStr">
        <is>
          <t>SKÖVDE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44811</v>
      </c>
      <c r="E242" s="1" t="n">
        <v>46262</v>
      </c>
      <c r="F242" t="inlineStr">
        <is>
          <t>VÄSTRA GÖTALANDS LÄN</t>
        </is>
      </c>
      <c r="G242" t="inlineStr">
        <is>
          <t>SKÖVDE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45706</v>
      </c>
      <c r="E243" s="1" t="n">
        <v>46262</v>
      </c>
      <c r="F243" t="inlineStr">
        <is>
          <t>VÄSTRA GÖTALANDS LÄN</t>
        </is>
      </c>
      <c r="G243" t="inlineStr">
        <is>
          <t>SKÖVDE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46262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46262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45002</v>
      </c>
      <c r="E246" s="1" t="n">
        <v>46262</v>
      </c>
      <c r="F246" t="inlineStr">
        <is>
          <t>VÄSTRA GÖTALANDS LÄN</t>
        </is>
      </c>
      <c r="G246" t="inlineStr">
        <is>
          <t>SKÖVDE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46262</v>
      </c>
      <c r="F247" t="inlineStr">
        <is>
          <t>VÄSTRA GÖTALANDS LÄN</t>
        </is>
      </c>
      <c r="G247" t="inlineStr">
        <is>
          <t>SKÖVDE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40995-2022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44825</v>
      </c>
      <c r="E248" s="1" t="n">
        <v>46262</v>
      </c>
      <c r="F248" t="inlineStr">
        <is>
          <t>VÄSTRA GÖTALANDS LÄN</t>
        </is>
      </c>
      <c r="G248" t="inlineStr">
        <is>
          <t>SKÖVDE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46262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44804</v>
      </c>
      <c r="E250" s="1" t="n">
        <v>46262</v>
      </c>
      <c r="F250" t="inlineStr">
        <is>
          <t>VÄSTRA GÖTALANDS LÄN</t>
        </is>
      </c>
      <c r="G250" t="inlineStr">
        <is>
          <t>SKÖVDE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46262</v>
      </c>
      <c r="F251" t="inlineStr">
        <is>
          <t>VÄSTRA GÖTALANDS LÄN</t>
        </is>
      </c>
      <c r="G251" t="inlineStr">
        <is>
          <t>SKÖVDE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46262</v>
      </c>
      <c r="F252" t="inlineStr">
        <is>
          <t>VÄSTRA GÖTALANDS LÄN</t>
        </is>
      </c>
      <c r="G252" t="inlineStr">
        <is>
          <t>SKÖVDE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46262</v>
      </c>
      <c r="F253" t="inlineStr">
        <is>
          <t>VÄSTRA GÖTALANDS LÄN</t>
        </is>
      </c>
      <c r="G253" t="inlineStr">
        <is>
          <t>SKÖVDE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46253</v>
      </c>
      <c r="E254" s="1" t="n">
        <v>46262</v>
      </c>
      <c r="F254" t="inlineStr">
        <is>
          <t>VÄSTRA GÖTALANDS LÄN</t>
        </is>
      </c>
      <c r="G254" t="inlineStr">
        <is>
          <t>SKÖVDE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46262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46262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46262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46262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46262</v>
      </c>
      <c r="F259" t="inlineStr">
        <is>
          <t>VÄSTRA GÖTALANDS LÄN</t>
        </is>
      </c>
      <c r="G259" t="inlineStr">
        <is>
          <t>SKÖVDE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46262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2026-08-28T01:49:54Z</dcterms:created>
  <dcterms:modified xmlns:dcterms="http://purl.org/dc/terms/" xmlns:xsi="http://www.w3.org/2001/XMLSchema-instance" xsi:type="dcterms:W3CDTF">2026-08-28T01:49:55Z</dcterms:modified>
</cp:coreProperties>
</file>