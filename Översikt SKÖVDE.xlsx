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45875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45875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45875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45875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45875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45875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45875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45875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45875</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45875</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45875</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45875</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45875</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45875</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45875</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45875</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45875</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45875</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45875</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45875</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26134-2019</t>
        </is>
      </c>
      <c r="B22" s="1" t="n">
        <v>43609</v>
      </c>
      <c r="C22" s="1" t="n">
        <v>45875</v>
      </c>
      <c r="D22" t="inlineStr">
        <is>
          <t>VÄSTRA GÖTALANDS LÄN</t>
        </is>
      </c>
      <c r="E22" t="inlineStr">
        <is>
          <t>SKÖVDE</t>
        </is>
      </c>
      <c r="F22" t="inlineStr">
        <is>
          <t>Övriga statliga verk och myndigheter</t>
        </is>
      </c>
      <c r="G22" t="n">
        <v>18.9</v>
      </c>
      <c r="H22" t="n">
        <v>0</v>
      </c>
      <c r="I22" t="n">
        <v>0</v>
      </c>
      <c r="J22" t="n">
        <v>2</v>
      </c>
      <c r="K22" t="n">
        <v>0</v>
      </c>
      <c r="L22" t="n">
        <v>0</v>
      </c>
      <c r="M22" t="n">
        <v>0</v>
      </c>
      <c r="N22" t="n">
        <v>0</v>
      </c>
      <c r="O22" t="n">
        <v>2</v>
      </c>
      <c r="P22" t="n">
        <v>0</v>
      </c>
      <c r="Q22" t="n">
        <v>2</v>
      </c>
      <c r="R22" s="2" t="inlineStr">
        <is>
          <t>Mindre blåvinge
Sexfläckig bastardsvärmare</t>
        </is>
      </c>
      <c r="S22">
        <f>HYPERLINK("https://klasma.github.io/Logging_1496/artfynd/A 26134-2019 artfynd.xlsx", "A 26134-2019")</f>
        <v/>
      </c>
      <c r="T22">
        <f>HYPERLINK("https://klasma.github.io/Logging_1496/kartor/A 26134-2019 karta.png", "A 26134-2019")</f>
        <v/>
      </c>
      <c r="V22">
        <f>HYPERLINK("https://klasma.github.io/Logging_1496/klagomål/A 26134-2019 FSC-klagomål.docx", "A 26134-2019")</f>
        <v/>
      </c>
      <c r="W22">
        <f>HYPERLINK("https://klasma.github.io/Logging_1496/klagomålsmail/A 26134-2019 FSC-klagomål mail.docx", "A 26134-2019")</f>
        <v/>
      </c>
      <c r="X22">
        <f>HYPERLINK("https://klasma.github.io/Logging_1496/tillsyn/A 26134-2019 tillsynsbegäran.docx", "A 26134-2019")</f>
        <v/>
      </c>
      <c r="Y22">
        <f>HYPERLINK("https://klasma.github.io/Logging_1496/tillsynsmail/A 26134-2019 tillsynsbegäran mail.docx", "A 26134-2019")</f>
        <v/>
      </c>
    </row>
    <row r="23" ht="15" customHeight="1">
      <c r="A23" t="inlineStr">
        <is>
          <t>A 28477-2019</t>
        </is>
      </c>
      <c r="B23" s="1" t="n">
        <v>43626</v>
      </c>
      <c r="C23" s="1" t="n">
        <v>45875</v>
      </c>
      <c r="D23" t="inlineStr">
        <is>
          <t>VÄSTRA GÖTALANDS LÄN</t>
        </is>
      </c>
      <c r="E23" t="inlineStr">
        <is>
          <t>SKÖVDE</t>
        </is>
      </c>
      <c r="G23" t="n">
        <v>2</v>
      </c>
      <c r="H23" t="n">
        <v>0</v>
      </c>
      <c r="I23" t="n">
        <v>2</v>
      </c>
      <c r="J23" t="n">
        <v>0</v>
      </c>
      <c r="K23" t="n">
        <v>0</v>
      </c>
      <c r="L23" t="n">
        <v>0</v>
      </c>
      <c r="M23" t="n">
        <v>0</v>
      </c>
      <c r="N23" t="n">
        <v>0</v>
      </c>
      <c r="O23" t="n">
        <v>0</v>
      </c>
      <c r="P23" t="n">
        <v>0</v>
      </c>
      <c r="Q23" t="n">
        <v>2</v>
      </c>
      <c r="R23" s="2" t="inlineStr">
        <is>
          <t>Blå slemspindling
Diskvaxskivling</t>
        </is>
      </c>
      <c r="S23">
        <f>HYPERLINK("https://klasma.github.io/Logging_1496/artfynd/A 28477-2019 artfynd.xlsx", "A 28477-2019")</f>
        <v/>
      </c>
      <c r="T23">
        <f>HYPERLINK("https://klasma.github.io/Logging_1496/kartor/A 28477-2019 karta.png", "A 28477-2019")</f>
        <v/>
      </c>
      <c r="V23">
        <f>HYPERLINK("https://klasma.github.io/Logging_1496/klagomål/A 28477-2019 FSC-klagomål.docx", "A 28477-2019")</f>
        <v/>
      </c>
      <c r="W23">
        <f>HYPERLINK("https://klasma.github.io/Logging_1496/klagomålsmail/A 28477-2019 FSC-klagomål mail.docx", "A 28477-2019")</f>
        <v/>
      </c>
      <c r="X23">
        <f>HYPERLINK("https://klasma.github.io/Logging_1496/tillsyn/A 28477-2019 tillsynsbegäran.docx", "A 28477-2019")</f>
        <v/>
      </c>
      <c r="Y23">
        <f>HYPERLINK("https://klasma.github.io/Logging_1496/tillsynsmail/A 28477-2019 tillsynsbegäran mail.docx", "A 28477-2019")</f>
        <v/>
      </c>
    </row>
    <row r="24" ht="15" customHeight="1">
      <c r="A24" t="inlineStr">
        <is>
          <t>A 19775-2020</t>
        </is>
      </c>
      <c r="B24" s="1" t="n">
        <v>43942</v>
      </c>
      <c r="C24" s="1" t="n">
        <v>45875</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Lundbräsma
Sårläka</t>
        </is>
      </c>
      <c r="S24">
        <f>HYPERLINK("https://klasma.github.io/Logging_1496/artfynd/A 19775-2020 artfynd.xlsx", "A 19775-2020")</f>
        <v/>
      </c>
      <c r="T24">
        <f>HYPERLINK("https://klasma.github.io/Logging_1496/kartor/A 19775-2020 karta.png", "A 19775-2020")</f>
        <v/>
      </c>
      <c r="V24">
        <f>HYPERLINK("https://klasma.github.io/Logging_1496/klagomål/A 19775-2020 FSC-klagomål.docx", "A 19775-2020")</f>
        <v/>
      </c>
      <c r="W24">
        <f>HYPERLINK("https://klasma.github.io/Logging_1496/klagomålsmail/A 19775-2020 FSC-klagomål mail.docx", "A 19775-2020")</f>
        <v/>
      </c>
      <c r="X24">
        <f>HYPERLINK("https://klasma.github.io/Logging_1496/tillsyn/A 19775-2020 tillsynsbegäran.docx", "A 19775-2020")</f>
        <v/>
      </c>
      <c r="Y24">
        <f>HYPERLINK("https://klasma.github.io/Logging_1496/tillsynsmail/A 19775-2020 tillsynsbegäran mail.docx", "A 19775-2020")</f>
        <v/>
      </c>
    </row>
    <row r="25" ht="15" customHeight="1">
      <c r="A25" t="inlineStr">
        <is>
          <t>A 23402-2021</t>
        </is>
      </c>
      <c r="B25" s="1" t="n">
        <v>44333</v>
      </c>
      <c r="C25" s="1" t="n">
        <v>45875</v>
      </c>
      <c r="D25" t="inlineStr">
        <is>
          <t>VÄSTRA GÖTALANDS LÄN</t>
        </is>
      </c>
      <c r="E25" t="inlineStr">
        <is>
          <t>SKÖVDE</t>
        </is>
      </c>
      <c r="G25" t="n">
        <v>0.6</v>
      </c>
      <c r="H25" t="n">
        <v>2</v>
      </c>
      <c r="I25" t="n">
        <v>0</v>
      </c>
      <c r="J25" t="n">
        <v>0</v>
      </c>
      <c r="K25" t="n">
        <v>1</v>
      </c>
      <c r="L25" t="n">
        <v>0</v>
      </c>
      <c r="M25" t="n">
        <v>0</v>
      </c>
      <c r="N25" t="n">
        <v>0</v>
      </c>
      <c r="O25" t="n">
        <v>1</v>
      </c>
      <c r="P25" t="n">
        <v>1</v>
      </c>
      <c r="Q25" t="n">
        <v>2</v>
      </c>
      <c r="R25" s="2" t="inlineStr">
        <is>
          <t>Knölvial
Gullviva</t>
        </is>
      </c>
      <c r="S25">
        <f>HYPERLINK("https://klasma.github.io/Logging_1496/artfynd/A 23402-2021 artfynd.xlsx", "A 23402-2021")</f>
        <v/>
      </c>
      <c r="T25">
        <f>HYPERLINK("https://klasma.github.io/Logging_1496/kartor/A 23402-2021 karta.png", "A 23402-2021")</f>
        <v/>
      </c>
      <c r="V25">
        <f>HYPERLINK("https://klasma.github.io/Logging_1496/klagomål/A 23402-2021 FSC-klagomål.docx", "A 23402-2021")</f>
        <v/>
      </c>
      <c r="W25">
        <f>HYPERLINK("https://klasma.github.io/Logging_1496/klagomålsmail/A 23402-2021 FSC-klagomål mail.docx", "A 23402-2021")</f>
        <v/>
      </c>
      <c r="X25">
        <f>HYPERLINK("https://klasma.github.io/Logging_1496/tillsyn/A 23402-2021 tillsynsbegäran.docx", "A 23402-2021")</f>
        <v/>
      </c>
      <c r="Y25">
        <f>HYPERLINK("https://klasma.github.io/Logging_1496/tillsynsmail/A 23402-2021 tillsynsbegäran mail.docx", "A 23402-2021")</f>
        <v/>
      </c>
    </row>
    <row r="26" ht="15" customHeight="1">
      <c r="A26" t="inlineStr">
        <is>
          <t>A 47429-2021</t>
        </is>
      </c>
      <c r="B26" s="1" t="n">
        <v>44447</v>
      </c>
      <c r="C26" s="1" t="n">
        <v>45875</v>
      </c>
      <c r="D26" t="inlineStr">
        <is>
          <t>VÄSTRA GÖTALANDS LÄN</t>
        </is>
      </c>
      <c r="E26" t="inlineStr">
        <is>
          <t>SKÖVDE</t>
        </is>
      </c>
      <c r="G26" t="n">
        <v>1</v>
      </c>
      <c r="H26" t="n">
        <v>0</v>
      </c>
      <c r="I26" t="n">
        <v>2</v>
      </c>
      <c r="J26" t="n">
        <v>0</v>
      </c>
      <c r="K26" t="n">
        <v>0</v>
      </c>
      <c r="L26" t="n">
        <v>0</v>
      </c>
      <c r="M26" t="n">
        <v>0</v>
      </c>
      <c r="N26" t="n">
        <v>0</v>
      </c>
      <c r="O26" t="n">
        <v>0</v>
      </c>
      <c r="P26" t="n">
        <v>0</v>
      </c>
      <c r="Q26" t="n">
        <v>2</v>
      </c>
      <c r="R26" s="2" t="inlineStr">
        <is>
          <t>Svart trolldruva
Tibast</t>
        </is>
      </c>
      <c r="S26">
        <f>HYPERLINK("https://klasma.github.io/Logging_1496/artfynd/A 47429-2021 artfynd.xlsx", "A 47429-2021")</f>
        <v/>
      </c>
      <c r="T26">
        <f>HYPERLINK("https://klasma.github.io/Logging_1496/kartor/A 47429-2021 karta.png", "A 47429-2021")</f>
        <v/>
      </c>
      <c r="V26">
        <f>HYPERLINK("https://klasma.github.io/Logging_1496/klagomål/A 47429-2021 FSC-klagomål.docx", "A 47429-2021")</f>
        <v/>
      </c>
      <c r="W26">
        <f>HYPERLINK("https://klasma.github.io/Logging_1496/klagomålsmail/A 47429-2021 FSC-klagomål mail.docx", "A 47429-2021")</f>
        <v/>
      </c>
      <c r="X26">
        <f>HYPERLINK("https://klasma.github.io/Logging_1496/tillsyn/A 47429-2021 tillsynsbegäran.docx", "A 47429-2021")</f>
        <v/>
      </c>
      <c r="Y26">
        <f>HYPERLINK("https://klasma.github.io/Logging_1496/tillsynsmail/A 47429-2021 tillsynsbegäran mail.docx", "A 47429-2021")</f>
        <v/>
      </c>
    </row>
    <row r="27" ht="15" customHeight="1">
      <c r="A27" t="inlineStr">
        <is>
          <t>A 64023-2021</t>
        </is>
      </c>
      <c r="B27" s="1" t="n">
        <v>44508</v>
      </c>
      <c r="C27" s="1" t="n">
        <v>45875</v>
      </c>
      <c r="D27" t="inlineStr">
        <is>
          <t>VÄSTRA GÖTALANDS LÄN</t>
        </is>
      </c>
      <c r="E27" t="inlineStr">
        <is>
          <t>SKÖVDE</t>
        </is>
      </c>
      <c r="G27" t="n">
        <v>2.2</v>
      </c>
      <c r="H27" t="n">
        <v>2</v>
      </c>
      <c r="I27" t="n">
        <v>1</v>
      </c>
      <c r="J27" t="n">
        <v>0</v>
      </c>
      <c r="K27" t="n">
        <v>0</v>
      </c>
      <c r="L27" t="n">
        <v>0</v>
      </c>
      <c r="M27" t="n">
        <v>0</v>
      </c>
      <c r="N27" t="n">
        <v>0</v>
      </c>
      <c r="O27" t="n">
        <v>0</v>
      </c>
      <c r="P27" t="n">
        <v>0</v>
      </c>
      <c r="Q27" t="n">
        <v>2</v>
      </c>
      <c r="R27" s="2" t="inlineStr">
        <is>
          <t>Korallrot
Revlummer</t>
        </is>
      </c>
      <c r="S27">
        <f>HYPERLINK("https://klasma.github.io/Logging_1496/artfynd/A 64023-2021 artfynd.xlsx", "A 64023-2021")</f>
        <v/>
      </c>
      <c r="T27">
        <f>HYPERLINK("https://klasma.github.io/Logging_1496/kartor/A 64023-2021 karta.png", "A 64023-2021")</f>
        <v/>
      </c>
      <c r="V27">
        <f>HYPERLINK("https://klasma.github.io/Logging_1496/klagomål/A 64023-2021 FSC-klagomål.docx", "A 64023-2021")</f>
        <v/>
      </c>
      <c r="W27">
        <f>HYPERLINK("https://klasma.github.io/Logging_1496/klagomålsmail/A 64023-2021 FSC-klagomål mail.docx", "A 64023-2021")</f>
        <v/>
      </c>
      <c r="X27">
        <f>HYPERLINK("https://klasma.github.io/Logging_1496/tillsyn/A 64023-2021 tillsynsbegäran.docx", "A 64023-2021")</f>
        <v/>
      </c>
      <c r="Y27">
        <f>HYPERLINK("https://klasma.github.io/Logging_1496/tillsynsmail/A 64023-2021 tillsynsbegäran mail.docx", "A 64023-2021")</f>
        <v/>
      </c>
    </row>
    <row r="28" ht="15" customHeight="1">
      <c r="A28" t="inlineStr">
        <is>
          <t>A 2579-2023</t>
        </is>
      </c>
      <c r="B28" s="1" t="n">
        <v>44943</v>
      </c>
      <c r="C28" s="1" t="n">
        <v>45875</v>
      </c>
      <c r="D28" t="inlineStr">
        <is>
          <t>VÄSTRA GÖTALANDS LÄN</t>
        </is>
      </c>
      <c r="E28" t="inlineStr">
        <is>
          <t>SKÖVDE</t>
        </is>
      </c>
      <c r="G28" t="n">
        <v>5.3</v>
      </c>
      <c r="H28" t="n">
        <v>1</v>
      </c>
      <c r="I28" t="n">
        <v>1</v>
      </c>
      <c r="J28" t="n">
        <v>0</v>
      </c>
      <c r="K28" t="n">
        <v>0</v>
      </c>
      <c r="L28" t="n">
        <v>0</v>
      </c>
      <c r="M28" t="n">
        <v>0</v>
      </c>
      <c r="N28" t="n">
        <v>0</v>
      </c>
      <c r="O28" t="n">
        <v>0</v>
      </c>
      <c r="P28" t="n">
        <v>0</v>
      </c>
      <c r="Q28" t="n">
        <v>2</v>
      </c>
      <c r="R28" s="2" t="inlineStr">
        <is>
          <t>Svart trolldruva
Fläcknycklar</t>
        </is>
      </c>
      <c r="S28">
        <f>HYPERLINK("https://klasma.github.io/Logging_1496/artfynd/A 2579-2023 artfynd.xlsx", "A 2579-2023")</f>
        <v/>
      </c>
      <c r="T28">
        <f>HYPERLINK("https://klasma.github.io/Logging_1496/kartor/A 2579-2023 karta.png", "A 2579-2023")</f>
        <v/>
      </c>
      <c r="V28">
        <f>HYPERLINK("https://klasma.github.io/Logging_1496/klagomål/A 2579-2023 FSC-klagomål.docx", "A 2579-2023")</f>
        <v/>
      </c>
      <c r="W28">
        <f>HYPERLINK("https://klasma.github.io/Logging_1496/klagomålsmail/A 2579-2023 FSC-klagomål mail.docx", "A 2579-2023")</f>
        <v/>
      </c>
      <c r="X28">
        <f>HYPERLINK("https://klasma.github.io/Logging_1496/tillsyn/A 2579-2023 tillsynsbegäran.docx", "A 2579-2023")</f>
        <v/>
      </c>
      <c r="Y28">
        <f>HYPERLINK("https://klasma.github.io/Logging_1496/tillsynsmail/A 2579-2023 tillsynsbegäran mail.docx", "A 2579-2023")</f>
        <v/>
      </c>
    </row>
    <row r="29" ht="15" customHeight="1">
      <c r="A29" t="inlineStr">
        <is>
          <t>A 3410-2023</t>
        </is>
      </c>
      <c r="B29" s="1" t="n">
        <v>44949</v>
      </c>
      <c r="C29" s="1" t="n">
        <v>45875</v>
      </c>
      <c r="D29" t="inlineStr">
        <is>
          <t>VÄSTRA GÖTALANDS LÄN</t>
        </is>
      </c>
      <c r="E29" t="inlineStr">
        <is>
          <t>SKÖVDE</t>
        </is>
      </c>
      <c r="F29" t="inlineStr">
        <is>
          <t>Kommuner</t>
        </is>
      </c>
      <c r="G29" t="n">
        <v>1.1</v>
      </c>
      <c r="H29" t="n">
        <v>1</v>
      </c>
      <c r="I29" t="n">
        <v>1</v>
      </c>
      <c r="J29" t="n">
        <v>0</v>
      </c>
      <c r="K29" t="n">
        <v>0</v>
      </c>
      <c r="L29" t="n">
        <v>0</v>
      </c>
      <c r="M29" t="n">
        <v>0</v>
      </c>
      <c r="N29" t="n">
        <v>0</v>
      </c>
      <c r="O29" t="n">
        <v>0</v>
      </c>
      <c r="P29" t="n">
        <v>0</v>
      </c>
      <c r="Q29" t="n">
        <v>2</v>
      </c>
      <c r="R29" s="2" t="inlineStr">
        <is>
          <t>Västlig hakmossa
Revlummer</t>
        </is>
      </c>
      <c r="S29">
        <f>HYPERLINK("https://klasma.github.io/Logging_1496/artfynd/A 3410-2023 artfynd.xlsx", "A 3410-2023")</f>
        <v/>
      </c>
      <c r="T29">
        <f>HYPERLINK("https://klasma.github.io/Logging_1496/kartor/A 3410-2023 karta.png", "A 3410-2023")</f>
        <v/>
      </c>
      <c r="V29">
        <f>HYPERLINK("https://klasma.github.io/Logging_1496/klagomål/A 3410-2023 FSC-klagomål.docx", "A 3410-2023")</f>
        <v/>
      </c>
      <c r="W29">
        <f>HYPERLINK("https://klasma.github.io/Logging_1496/klagomålsmail/A 3410-2023 FSC-klagomål mail.docx", "A 3410-2023")</f>
        <v/>
      </c>
      <c r="X29">
        <f>HYPERLINK("https://klasma.github.io/Logging_1496/tillsyn/A 3410-2023 tillsynsbegäran.docx", "A 3410-2023")</f>
        <v/>
      </c>
      <c r="Y29">
        <f>HYPERLINK("https://klasma.github.io/Logging_1496/tillsynsmail/A 3410-2023 tillsynsbegäran mail.docx", "A 3410-2023")</f>
        <v/>
      </c>
    </row>
    <row r="30" ht="15" customHeight="1">
      <c r="A30" t="inlineStr">
        <is>
          <t>A 15722-2024</t>
        </is>
      </c>
      <c r="B30" s="1" t="n">
        <v>45404</v>
      </c>
      <c r="C30" s="1" t="n">
        <v>45875</v>
      </c>
      <c r="D30" t="inlineStr">
        <is>
          <t>VÄSTRA GÖTALANDS LÄN</t>
        </is>
      </c>
      <c r="E30" t="inlineStr">
        <is>
          <t>SKÖVDE</t>
        </is>
      </c>
      <c r="G30" t="n">
        <v>0.9</v>
      </c>
      <c r="H30" t="n">
        <v>0</v>
      </c>
      <c r="I30" t="n">
        <v>2</v>
      </c>
      <c r="J30" t="n">
        <v>0</v>
      </c>
      <c r="K30" t="n">
        <v>0</v>
      </c>
      <c r="L30" t="n">
        <v>0</v>
      </c>
      <c r="M30" t="n">
        <v>0</v>
      </c>
      <c r="N30" t="n">
        <v>0</v>
      </c>
      <c r="O30" t="n">
        <v>0</v>
      </c>
      <c r="P30" t="n">
        <v>0</v>
      </c>
      <c r="Q30" t="n">
        <v>2</v>
      </c>
      <c r="R30" s="2" t="inlineStr">
        <is>
          <t>Lundbräsma
Sårläka</t>
        </is>
      </c>
      <c r="S30">
        <f>HYPERLINK("https://klasma.github.io/Logging_1496/artfynd/A 15722-2024 artfynd.xlsx", "A 15722-2024")</f>
        <v/>
      </c>
      <c r="T30">
        <f>HYPERLINK("https://klasma.github.io/Logging_1496/kartor/A 15722-2024 karta.png", "A 15722-2024")</f>
        <v/>
      </c>
      <c r="V30">
        <f>HYPERLINK("https://klasma.github.io/Logging_1496/klagomål/A 15722-2024 FSC-klagomål.docx", "A 15722-2024")</f>
        <v/>
      </c>
      <c r="W30">
        <f>HYPERLINK("https://klasma.github.io/Logging_1496/klagomålsmail/A 15722-2024 FSC-klagomål mail.docx", "A 15722-2024")</f>
        <v/>
      </c>
      <c r="X30">
        <f>HYPERLINK("https://klasma.github.io/Logging_1496/tillsyn/A 15722-2024 tillsynsbegäran.docx", "A 15722-2024")</f>
        <v/>
      </c>
      <c r="Y30">
        <f>HYPERLINK("https://klasma.github.io/Logging_1496/tillsynsmail/A 15722-2024 tillsynsbegäran mail.docx", "A 15722-2024")</f>
        <v/>
      </c>
    </row>
    <row r="31" ht="15" customHeight="1">
      <c r="A31" t="inlineStr">
        <is>
          <t>A 43003-2024</t>
        </is>
      </c>
      <c r="B31" s="1" t="n">
        <v>45567</v>
      </c>
      <c r="C31" s="1" t="n">
        <v>45875</v>
      </c>
      <c r="D31" t="inlineStr">
        <is>
          <t>VÄSTRA GÖTALANDS LÄN</t>
        </is>
      </c>
      <c r="E31" t="inlineStr">
        <is>
          <t>SKÖVDE</t>
        </is>
      </c>
      <c r="G31" t="n">
        <v>2.6</v>
      </c>
      <c r="H31" t="n">
        <v>0</v>
      </c>
      <c r="I31" t="n">
        <v>1</v>
      </c>
      <c r="J31" t="n">
        <v>1</v>
      </c>
      <c r="K31" t="n">
        <v>0</v>
      </c>
      <c r="L31" t="n">
        <v>0</v>
      </c>
      <c r="M31" t="n">
        <v>0</v>
      </c>
      <c r="N31" t="n">
        <v>0</v>
      </c>
      <c r="O31" t="n">
        <v>1</v>
      </c>
      <c r="P31" t="n">
        <v>0</v>
      </c>
      <c r="Q31" t="n">
        <v>2</v>
      </c>
      <c r="R31" s="2" t="inlineStr">
        <is>
          <t>Desmeknopp
Scharlakansskål</t>
        </is>
      </c>
      <c r="S31">
        <f>HYPERLINK("https://klasma.github.io/Logging_1496/artfynd/A 43003-2024 artfynd.xlsx", "A 43003-2024")</f>
        <v/>
      </c>
      <c r="T31">
        <f>HYPERLINK("https://klasma.github.io/Logging_1496/kartor/A 43003-2024 karta.png", "A 43003-2024")</f>
        <v/>
      </c>
      <c r="V31">
        <f>HYPERLINK("https://klasma.github.io/Logging_1496/klagomål/A 43003-2024 FSC-klagomål.docx", "A 43003-2024")</f>
        <v/>
      </c>
      <c r="W31">
        <f>HYPERLINK("https://klasma.github.io/Logging_1496/klagomålsmail/A 43003-2024 FSC-klagomål mail.docx", "A 43003-2024")</f>
        <v/>
      </c>
      <c r="X31">
        <f>HYPERLINK("https://klasma.github.io/Logging_1496/tillsyn/A 43003-2024 tillsynsbegäran.docx", "A 43003-2024")</f>
        <v/>
      </c>
      <c r="Y31">
        <f>HYPERLINK("https://klasma.github.io/Logging_1496/tillsynsmail/A 43003-2024 tillsynsbegäran mail.docx", "A 43003-2024")</f>
        <v/>
      </c>
    </row>
    <row r="32" ht="15" customHeight="1">
      <c r="A32" t="inlineStr">
        <is>
          <t>A 6756-2025</t>
        </is>
      </c>
      <c r="B32" s="1" t="n">
        <v>45700</v>
      </c>
      <c r="C32" s="1" t="n">
        <v>45875</v>
      </c>
      <c r="D32" t="inlineStr">
        <is>
          <t>VÄSTRA GÖTALANDS LÄN</t>
        </is>
      </c>
      <c r="E32" t="inlineStr">
        <is>
          <t>SKÖVDE</t>
        </is>
      </c>
      <c r="G32" t="n">
        <v>2.6</v>
      </c>
      <c r="H32" t="n">
        <v>1</v>
      </c>
      <c r="I32" t="n">
        <v>1</v>
      </c>
      <c r="J32" t="n">
        <v>0</v>
      </c>
      <c r="K32" t="n">
        <v>1</v>
      </c>
      <c r="L32" t="n">
        <v>0</v>
      </c>
      <c r="M32" t="n">
        <v>0</v>
      </c>
      <c r="N32" t="n">
        <v>0</v>
      </c>
      <c r="O32" t="n">
        <v>1</v>
      </c>
      <c r="P32" t="n">
        <v>1</v>
      </c>
      <c r="Q32" t="n">
        <v>2</v>
      </c>
      <c r="R32" s="2" t="inlineStr">
        <is>
          <t>Knärot
Grönpyrola</t>
        </is>
      </c>
      <c r="S32">
        <f>HYPERLINK("https://klasma.github.io/Logging_1496/artfynd/A 6756-2025 artfynd.xlsx", "A 6756-2025")</f>
        <v/>
      </c>
      <c r="T32">
        <f>HYPERLINK("https://klasma.github.io/Logging_1496/kartor/A 6756-2025 karta.png", "A 6756-2025")</f>
        <v/>
      </c>
      <c r="U32">
        <f>HYPERLINK("https://klasma.github.io/Logging_1496/knärot/A 6756-2025 karta knärot.png", "A 6756-2025")</f>
        <v/>
      </c>
      <c r="V32">
        <f>HYPERLINK("https://klasma.github.io/Logging_1496/klagomål/A 6756-2025 FSC-klagomål.docx", "A 6756-2025")</f>
        <v/>
      </c>
      <c r="W32">
        <f>HYPERLINK("https://klasma.github.io/Logging_1496/klagomålsmail/A 6756-2025 FSC-klagomål mail.docx", "A 6756-2025")</f>
        <v/>
      </c>
      <c r="X32">
        <f>HYPERLINK("https://klasma.github.io/Logging_1496/tillsyn/A 6756-2025 tillsynsbegäran.docx", "A 6756-2025")</f>
        <v/>
      </c>
      <c r="Y32">
        <f>HYPERLINK("https://klasma.github.io/Logging_1496/tillsynsmail/A 6756-2025 tillsynsbegäran mail.docx", "A 6756-2025")</f>
        <v/>
      </c>
    </row>
    <row r="33" ht="15" customHeight="1">
      <c r="A33" t="inlineStr">
        <is>
          <t>A 7276-2025</t>
        </is>
      </c>
      <c r="B33" s="1" t="n">
        <v>45702</v>
      </c>
      <c r="C33" s="1" t="n">
        <v>45875</v>
      </c>
      <c r="D33" t="inlineStr">
        <is>
          <t>VÄSTRA GÖTALANDS LÄN</t>
        </is>
      </c>
      <c r="E33" t="inlineStr">
        <is>
          <t>SKÖVDE</t>
        </is>
      </c>
      <c r="G33" t="n">
        <v>0.6</v>
      </c>
      <c r="H33" t="n">
        <v>0</v>
      </c>
      <c r="I33" t="n">
        <v>0</v>
      </c>
      <c r="J33" t="n">
        <v>0</v>
      </c>
      <c r="K33" t="n">
        <v>2</v>
      </c>
      <c r="L33" t="n">
        <v>0</v>
      </c>
      <c r="M33" t="n">
        <v>0</v>
      </c>
      <c r="N33" t="n">
        <v>0</v>
      </c>
      <c r="O33" t="n">
        <v>2</v>
      </c>
      <c r="P33" t="n">
        <v>2</v>
      </c>
      <c r="Q33" t="n">
        <v>2</v>
      </c>
      <c r="R33" s="2" t="inlineStr">
        <is>
          <t>Bitter taggsvamp
Mjölfibbla</t>
        </is>
      </c>
      <c r="S33">
        <f>HYPERLINK("https://klasma.github.io/Logging_1496/artfynd/A 7276-2025 artfynd.xlsx", "A 7276-2025")</f>
        <v/>
      </c>
      <c r="T33">
        <f>HYPERLINK("https://klasma.github.io/Logging_1496/kartor/A 7276-2025 karta.png", "A 7276-2025")</f>
        <v/>
      </c>
      <c r="V33">
        <f>HYPERLINK("https://klasma.github.io/Logging_1496/klagomål/A 7276-2025 FSC-klagomål.docx", "A 7276-2025")</f>
        <v/>
      </c>
      <c r="W33">
        <f>HYPERLINK("https://klasma.github.io/Logging_1496/klagomålsmail/A 7276-2025 FSC-klagomål mail.docx", "A 7276-2025")</f>
        <v/>
      </c>
      <c r="X33">
        <f>HYPERLINK("https://klasma.github.io/Logging_1496/tillsyn/A 7276-2025 tillsynsbegäran.docx", "A 7276-2025")</f>
        <v/>
      </c>
      <c r="Y33">
        <f>HYPERLINK("https://klasma.github.io/Logging_1496/tillsynsmail/A 7276-2025 tillsynsbegäran mail.docx", "A 7276-2025")</f>
        <v/>
      </c>
    </row>
    <row r="34" ht="15" customHeight="1">
      <c r="A34" t="inlineStr">
        <is>
          <t>A 22268-2025</t>
        </is>
      </c>
      <c r="B34" s="1" t="n">
        <v>45785</v>
      </c>
      <c r="C34" s="1" t="n">
        <v>45875</v>
      </c>
      <c r="D34" t="inlineStr">
        <is>
          <t>VÄSTRA GÖTALANDS LÄN</t>
        </is>
      </c>
      <c r="E34" t="inlineStr">
        <is>
          <t>SKÖVDE</t>
        </is>
      </c>
      <c r="G34" t="n">
        <v>1.4</v>
      </c>
      <c r="H34" t="n">
        <v>1</v>
      </c>
      <c r="I34" t="n">
        <v>0</v>
      </c>
      <c r="J34" t="n">
        <v>1</v>
      </c>
      <c r="K34" t="n">
        <v>1</v>
      </c>
      <c r="L34" t="n">
        <v>0</v>
      </c>
      <c r="M34" t="n">
        <v>0</v>
      </c>
      <c r="N34" t="n">
        <v>0</v>
      </c>
      <c r="O34" t="n">
        <v>2</v>
      </c>
      <c r="P34" t="n">
        <v>1</v>
      </c>
      <c r="Q34" t="n">
        <v>2</v>
      </c>
      <c r="R34" s="2" t="inlineStr">
        <is>
          <t>Knärot
Motaggsvamp</t>
        </is>
      </c>
      <c r="S34">
        <f>HYPERLINK("https://klasma.github.io/Logging_141496/artfynd/A 22268-2025 artfynd.xlsx", "A 22268-2025")</f>
        <v/>
      </c>
      <c r="T34">
        <f>HYPERLINK("https://klasma.github.io/Logging_141496/kartor/A 22268-2025 karta.png", "A 22268-2025")</f>
        <v/>
      </c>
      <c r="U34">
        <f>HYPERLINK("https://klasma.github.io/Logging_141496/knärot/A 22268-2025 karta knärot.png", "A 22268-2025")</f>
        <v/>
      </c>
      <c r="V34">
        <f>HYPERLINK("https://klasma.github.io/Logging_141496/klagomål/A 22268-2025 FSC-klagomål.docx", "A 22268-2025")</f>
        <v/>
      </c>
      <c r="W34">
        <f>HYPERLINK("https://klasma.github.io/Logging_141496/klagomålsmail/A 22268-2025 FSC-klagomål mail.docx", "A 22268-2025")</f>
        <v/>
      </c>
      <c r="X34">
        <f>HYPERLINK("https://klasma.github.io/Logging_141496/tillsyn/A 22268-2025 tillsynsbegäran.docx", "A 22268-2025")</f>
        <v/>
      </c>
      <c r="Y34">
        <f>HYPERLINK("https://klasma.github.io/Logging_141496/tillsynsmail/A 22268-2025 tillsynsbegäran mail.docx", "A 22268-2025")</f>
        <v/>
      </c>
    </row>
    <row r="35" ht="15" customHeight="1">
      <c r="A35" t="inlineStr">
        <is>
          <t>A 60099-2019</t>
        </is>
      </c>
      <c r="B35" s="1" t="n">
        <v>43777</v>
      </c>
      <c r="C35" s="1" t="n">
        <v>45875</v>
      </c>
      <c r="D35" t="inlineStr">
        <is>
          <t>VÄSTRA GÖTALANDS LÄN</t>
        </is>
      </c>
      <c r="E35" t="inlineStr">
        <is>
          <t>SKÖVDE</t>
        </is>
      </c>
      <c r="F35" t="inlineStr">
        <is>
          <t>Övriga statliga verk och myndigheter</t>
        </is>
      </c>
      <c r="G35" t="n">
        <v>5.6</v>
      </c>
      <c r="H35" t="n">
        <v>0</v>
      </c>
      <c r="I35" t="n">
        <v>0</v>
      </c>
      <c r="J35" t="n">
        <v>1</v>
      </c>
      <c r="K35" t="n">
        <v>0</v>
      </c>
      <c r="L35" t="n">
        <v>0</v>
      </c>
      <c r="M35" t="n">
        <v>0</v>
      </c>
      <c r="N35" t="n">
        <v>0</v>
      </c>
      <c r="O35" t="n">
        <v>1</v>
      </c>
      <c r="P35" t="n">
        <v>0</v>
      </c>
      <c r="Q35" t="n">
        <v>1</v>
      </c>
      <c r="R35" s="2" t="inlineStr">
        <is>
          <t>Gropticka</t>
        </is>
      </c>
      <c r="S35">
        <f>HYPERLINK("https://klasma.github.io/Logging_1496/artfynd/A 60099-2019 artfynd.xlsx", "A 60099-2019")</f>
        <v/>
      </c>
      <c r="T35">
        <f>HYPERLINK("https://klasma.github.io/Logging_1496/kartor/A 60099-2019 karta.png", "A 60099-2019")</f>
        <v/>
      </c>
      <c r="V35">
        <f>HYPERLINK("https://klasma.github.io/Logging_1496/klagomål/A 60099-2019 FSC-klagomål.docx", "A 60099-2019")</f>
        <v/>
      </c>
      <c r="W35">
        <f>HYPERLINK("https://klasma.github.io/Logging_1496/klagomålsmail/A 60099-2019 FSC-klagomål mail.docx", "A 60099-2019")</f>
        <v/>
      </c>
      <c r="X35">
        <f>HYPERLINK("https://klasma.github.io/Logging_1496/tillsyn/A 60099-2019 tillsynsbegäran.docx", "A 60099-2019")</f>
        <v/>
      </c>
      <c r="Y35">
        <f>HYPERLINK("https://klasma.github.io/Logging_1496/tillsynsmail/A 60099-2019 tillsynsbegäran mail.docx", "A 60099-2019")</f>
        <v/>
      </c>
    </row>
    <row r="36" ht="15" customHeight="1">
      <c r="A36" t="inlineStr">
        <is>
          <t>A 37216-2020</t>
        </is>
      </c>
      <c r="B36" s="1" t="n">
        <v>44054</v>
      </c>
      <c r="C36" s="1" t="n">
        <v>45875</v>
      </c>
      <c r="D36" t="inlineStr">
        <is>
          <t>VÄSTRA GÖTALANDS LÄN</t>
        </is>
      </c>
      <c r="E36" t="inlineStr">
        <is>
          <t>SKÖVDE</t>
        </is>
      </c>
      <c r="G36" t="n">
        <v>1.3</v>
      </c>
      <c r="H36" t="n">
        <v>1</v>
      </c>
      <c r="I36" t="n">
        <v>0</v>
      </c>
      <c r="J36" t="n">
        <v>0</v>
      </c>
      <c r="K36" t="n">
        <v>0</v>
      </c>
      <c r="L36" t="n">
        <v>0</v>
      </c>
      <c r="M36" t="n">
        <v>0</v>
      </c>
      <c r="N36" t="n">
        <v>0</v>
      </c>
      <c r="O36" t="n">
        <v>0</v>
      </c>
      <c r="P36" t="n">
        <v>0</v>
      </c>
      <c r="Q36" t="n">
        <v>1</v>
      </c>
      <c r="R36" s="2" t="inlineStr">
        <is>
          <t>Revlummer</t>
        </is>
      </c>
      <c r="S36">
        <f>HYPERLINK("https://klasma.github.io/Logging_1496/artfynd/A 37216-2020 artfynd.xlsx", "A 37216-2020")</f>
        <v/>
      </c>
      <c r="T36">
        <f>HYPERLINK("https://klasma.github.io/Logging_1496/kartor/A 37216-2020 karta.png", "A 37216-2020")</f>
        <v/>
      </c>
      <c r="V36">
        <f>HYPERLINK("https://klasma.github.io/Logging_1496/klagomål/A 37216-2020 FSC-klagomål.docx", "A 37216-2020")</f>
        <v/>
      </c>
      <c r="W36">
        <f>HYPERLINK("https://klasma.github.io/Logging_1496/klagomålsmail/A 37216-2020 FSC-klagomål mail.docx", "A 37216-2020")</f>
        <v/>
      </c>
      <c r="X36">
        <f>HYPERLINK("https://klasma.github.io/Logging_1496/tillsyn/A 37216-2020 tillsynsbegäran.docx", "A 37216-2020")</f>
        <v/>
      </c>
      <c r="Y36">
        <f>HYPERLINK("https://klasma.github.io/Logging_1496/tillsynsmail/A 37216-2020 tillsynsbegäran mail.docx", "A 37216-2020")</f>
        <v/>
      </c>
    </row>
    <row r="37" ht="15" customHeight="1">
      <c r="A37" t="inlineStr">
        <is>
          <t>A 6484-2021</t>
        </is>
      </c>
      <c r="B37" s="1" t="n">
        <v>44235</v>
      </c>
      <c r="C37" s="1" t="n">
        <v>45875</v>
      </c>
      <c r="D37" t="inlineStr">
        <is>
          <t>VÄSTRA GÖTALANDS LÄN</t>
        </is>
      </c>
      <c r="E37" t="inlineStr">
        <is>
          <t>SKÖVDE</t>
        </is>
      </c>
      <c r="G37" t="n">
        <v>2.9</v>
      </c>
      <c r="H37" t="n">
        <v>0</v>
      </c>
      <c r="I37" t="n">
        <v>1</v>
      </c>
      <c r="J37" t="n">
        <v>0</v>
      </c>
      <c r="K37" t="n">
        <v>0</v>
      </c>
      <c r="L37" t="n">
        <v>0</v>
      </c>
      <c r="M37" t="n">
        <v>0</v>
      </c>
      <c r="N37" t="n">
        <v>0</v>
      </c>
      <c r="O37" t="n">
        <v>0</v>
      </c>
      <c r="P37" t="n">
        <v>0</v>
      </c>
      <c r="Q37" t="n">
        <v>1</v>
      </c>
      <c r="R37" s="2" t="inlineStr">
        <is>
          <t>Tibast</t>
        </is>
      </c>
      <c r="S37">
        <f>HYPERLINK("https://klasma.github.io/Logging_1496/artfynd/A 6484-2021 artfynd.xlsx", "A 6484-2021")</f>
        <v/>
      </c>
      <c r="T37">
        <f>HYPERLINK("https://klasma.github.io/Logging_1496/kartor/A 6484-2021 karta.png", "A 6484-2021")</f>
        <v/>
      </c>
      <c r="V37">
        <f>HYPERLINK("https://klasma.github.io/Logging_1496/klagomål/A 6484-2021 FSC-klagomål.docx", "A 6484-2021")</f>
        <v/>
      </c>
      <c r="W37">
        <f>HYPERLINK("https://klasma.github.io/Logging_1496/klagomålsmail/A 6484-2021 FSC-klagomål mail.docx", "A 6484-2021")</f>
        <v/>
      </c>
      <c r="X37">
        <f>HYPERLINK("https://klasma.github.io/Logging_1496/tillsyn/A 6484-2021 tillsynsbegäran.docx", "A 6484-2021")</f>
        <v/>
      </c>
      <c r="Y37">
        <f>HYPERLINK("https://klasma.github.io/Logging_1496/tillsynsmail/A 6484-2021 tillsynsbegäran mail.docx", "A 6484-2021")</f>
        <v/>
      </c>
    </row>
    <row r="38" ht="15" customHeight="1">
      <c r="A38" t="inlineStr">
        <is>
          <t>A 60172-2021</t>
        </is>
      </c>
      <c r="B38" s="1" t="n">
        <v>44495</v>
      </c>
      <c r="C38" s="1" t="n">
        <v>45875</v>
      </c>
      <c r="D38" t="inlineStr">
        <is>
          <t>VÄSTRA GÖTALANDS LÄN</t>
        </is>
      </c>
      <c r="E38" t="inlineStr">
        <is>
          <t>SKÖVDE</t>
        </is>
      </c>
      <c r="G38" t="n">
        <v>1.4</v>
      </c>
      <c r="H38" t="n">
        <v>1</v>
      </c>
      <c r="I38" t="n">
        <v>0</v>
      </c>
      <c r="J38" t="n">
        <v>0</v>
      </c>
      <c r="K38" t="n">
        <v>0</v>
      </c>
      <c r="L38" t="n">
        <v>0</v>
      </c>
      <c r="M38" t="n">
        <v>0</v>
      </c>
      <c r="N38" t="n">
        <v>0</v>
      </c>
      <c r="O38" t="n">
        <v>0</v>
      </c>
      <c r="P38" t="n">
        <v>0</v>
      </c>
      <c r="Q38" t="n">
        <v>1</v>
      </c>
      <c r="R38" s="2" t="inlineStr">
        <is>
          <t>Fläcknycklar</t>
        </is>
      </c>
      <c r="S38">
        <f>HYPERLINK("https://klasma.github.io/Logging_1496/artfynd/A 60172-2021 artfynd.xlsx", "A 60172-2021")</f>
        <v/>
      </c>
      <c r="T38">
        <f>HYPERLINK("https://klasma.github.io/Logging_1496/kartor/A 60172-2021 karta.png", "A 60172-2021")</f>
        <v/>
      </c>
      <c r="V38">
        <f>HYPERLINK("https://klasma.github.io/Logging_1496/klagomål/A 60172-2021 FSC-klagomål.docx", "A 60172-2021")</f>
        <v/>
      </c>
      <c r="W38">
        <f>HYPERLINK("https://klasma.github.io/Logging_1496/klagomålsmail/A 60172-2021 FSC-klagomål mail.docx", "A 60172-2021")</f>
        <v/>
      </c>
      <c r="X38">
        <f>HYPERLINK("https://klasma.github.io/Logging_1496/tillsyn/A 60172-2021 tillsynsbegäran.docx", "A 60172-2021")</f>
        <v/>
      </c>
      <c r="Y38">
        <f>HYPERLINK("https://klasma.github.io/Logging_1496/tillsynsmail/A 60172-2021 tillsynsbegäran mail.docx", "A 60172-2021")</f>
        <v/>
      </c>
    </row>
    <row r="39" ht="15" customHeight="1">
      <c r="A39" t="inlineStr">
        <is>
          <t>A 39092-2022</t>
        </is>
      </c>
      <c r="B39" s="1" t="n">
        <v>44817</v>
      </c>
      <c r="C39" s="1" t="n">
        <v>45875</v>
      </c>
      <c r="D39" t="inlineStr">
        <is>
          <t>VÄSTRA GÖTALANDS LÄN</t>
        </is>
      </c>
      <c r="E39" t="inlineStr">
        <is>
          <t>SKÖVDE</t>
        </is>
      </c>
      <c r="G39" t="n">
        <v>3.1</v>
      </c>
      <c r="H39" t="n">
        <v>0</v>
      </c>
      <c r="I39" t="n">
        <v>1</v>
      </c>
      <c r="J39" t="n">
        <v>0</v>
      </c>
      <c r="K39" t="n">
        <v>0</v>
      </c>
      <c r="L39" t="n">
        <v>0</v>
      </c>
      <c r="M39" t="n">
        <v>0</v>
      </c>
      <c r="N39" t="n">
        <v>0</v>
      </c>
      <c r="O39" t="n">
        <v>0</v>
      </c>
      <c r="P39" t="n">
        <v>0</v>
      </c>
      <c r="Q39" t="n">
        <v>1</v>
      </c>
      <c r="R39" s="2" t="inlineStr">
        <is>
          <t>Sårläka</t>
        </is>
      </c>
      <c r="S39">
        <f>HYPERLINK("https://klasma.github.io/Logging_1496/artfynd/A 39092-2022 artfynd.xlsx", "A 39092-2022")</f>
        <v/>
      </c>
      <c r="T39">
        <f>HYPERLINK("https://klasma.github.io/Logging_1496/kartor/A 39092-2022 karta.png", "A 39092-2022")</f>
        <v/>
      </c>
      <c r="V39">
        <f>HYPERLINK("https://klasma.github.io/Logging_1496/klagomål/A 39092-2022 FSC-klagomål.docx", "A 39092-2022")</f>
        <v/>
      </c>
      <c r="W39">
        <f>HYPERLINK("https://klasma.github.io/Logging_1496/klagomålsmail/A 39092-2022 FSC-klagomål mail.docx", "A 39092-2022")</f>
        <v/>
      </c>
      <c r="X39">
        <f>HYPERLINK("https://klasma.github.io/Logging_1496/tillsyn/A 39092-2022 tillsynsbegäran.docx", "A 39092-2022")</f>
        <v/>
      </c>
      <c r="Y39">
        <f>HYPERLINK("https://klasma.github.io/Logging_1496/tillsynsmail/A 39092-2022 tillsynsbegäran mail.docx", "A 39092-2022")</f>
        <v/>
      </c>
    </row>
    <row r="40" ht="15" customHeight="1">
      <c r="A40" t="inlineStr">
        <is>
          <t>A 43859-2022</t>
        </is>
      </c>
      <c r="B40" s="1" t="n">
        <v>44837</v>
      </c>
      <c r="C40" s="1" t="n">
        <v>45875</v>
      </c>
      <c r="D40" t="inlineStr">
        <is>
          <t>VÄSTRA GÖTALANDS LÄN</t>
        </is>
      </c>
      <c r="E40" t="inlineStr">
        <is>
          <t>SKÖVDE</t>
        </is>
      </c>
      <c r="G40" t="n">
        <v>1</v>
      </c>
      <c r="H40" t="n">
        <v>0</v>
      </c>
      <c r="I40" t="n">
        <v>0</v>
      </c>
      <c r="J40" t="n">
        <v>1</v>
      </c>
      <c r="K40" t="n">
        <v>0</v>
      </c>
      <c r="L40" t="n">
        <v>0</v>
      </c>
      <c r="M40" t="n">
        <v>0</v>
      </c>
      <c r="N40" t="n">
        <v>0</v>
      </c>
      <c r="O40" t="n">
        <v>1</v>
      </c>
      <c r="P40" t="n">
        <v>0</v>
      </c>
      <c r="Q40" t="n">
        <v>1</v>
      </c>
      <c r="R40" s="2" t="inlineStr">
        <is>
          <t>Gullklöver</t>
        </is>
      </c>
      <c r="S40">
        <f>HYPERLINK("https://klasma.github.io/Logging_1496/artfynd/A 43859-2022 artfynd.xlsx", "A 43859-2022")</f>
        <v/>
      </c>
      <c r="T40">
        <f>HYPERLINK("https://klasma.github.io/Logging_1496/kartor/A 43859-2022 karta.png", "A 43859-2022")</f>
        <v/>
      </c>
      <c r="V40">
        <f>HYPERLINK("https://klasma.github.io/Logging_1496/klagomål/A 43859-2022 FSC-klagomål.docx", "A 43859-2022")</f>
        <v/>
      </c>
      <c r="W40">
        <f>HYPERLINK("https://klasma.github.io/Logging_1496/klagomålsmail/A 43859-2022 FSC-klagomål mail.docx", "A 43859-2022")</f>
        <v/>
      </c>
      <c r="X40">
        <f>HYPERLINK("https://klasma.github.io/Logging_1496/tillsyn/A 43859-2022 tillsynsbegäran.docx", "A 43859-2022")</f>
        <v/>
      </c>
      <c r="Y40">
        <f>HYPERLINK("https://klasma.github.io/Logging_1496/tillsynsmail/A 43859-2022 tillsynsbegäran mail.docx", "A 43859-2022")</f>
        <v/>
      </c>
    </row>
    <row r="41" ht="15" customHeight="1">
      <c r="A41" t="inlineStr">
        <is>
          <t>A 100-2023</t>
        </is>
      </c>
      <c r="B41" s="1" t="n">
        <v>44928</v>
      </c>
      <c r="C41" s="1" t="n">
        <v>45875</v>
      </c>
      <c r="D41" t="inlineStr">
        <is>
          <t>VÄSTRA GÖTALANDS LÄN</t>
        </is>
      </c>
      <c r="E41" t="inlineStr">
        <is>
          <t>SKÖVDE</t>
        </is>
      </c>
      <c r="F41" t="inlineStr">
        <is>
          <t>Kommuner</t>
        </is>
      </c>
      <c r="G41" t="n">
        <v>1.4</v>
      </c>
      <c r="H41" t="n">
        <v>0</v>
      </c>
      <c r="I41" t="n">
        <v>0</v>
      </c>
      <c r="J41" t="n">
        <v>1</v>
      </c>
      <c r="K41" t="n">
        <v>0</v>
      </c>
      <c r="L41" t="n">
        <v>0</v>
      </c>
      <c r="M41" t="n">
        <v>0</v>
      </c>
      <c r="N41" t="n">
        <v>0</v>
      </c>
      <c r="O41" t="n">
        <v>1</v>
      </c>
      <c r="P41" t="n">
        <v>0</v>
      </c>
      <c r="Q41" t="n">
        <v>1</v>
      </c>
      <c r="R41" s="2" t="inlineStr">
        <is>
          <t>Borsttåg</t>
        </is>
      </c>
      <c r="S41">
        <f>HYPERLINK("https://klasma.github.io/Logging_1496/artfynd/A 100-2023 artfynd.xlsx", "A 100-2023")</f>
        <v/>
      </c>
      <c r="T41">
        <f>HYPERLINK("https://klasma.github.io/Logging_1496/kartor/A 100-2023 karta.png", "A 100-2023")</f>
        <v/>
      </c>
      <c r="V41">
        <f>HYPERLINK("https://klasma.github.io/Logging_1496/klagomål/A 100-2023 FSC-klagomål.docx", "A 100-2023")</f>
        <v/>
      </c>
      <c r="W41">
        <f>HYPERLINK("https://klasma.github.io/Logging_1496/klagomålsmail/A 100-2023 FSC-klagomål mail.docx", "A 100-2023")</f>
        <v/>
      </c>
      <c r="X41">
        <f>HYPERLINK("https://klasma.github.io/Logging_1496/tillsyn/A 100-2023 tillsynsbegäran.docx", "A 100-2023")</f>
        <v/>
      </c>
      <c r="Y41">
        <f>HYPERLINK("https://klasma.github.io/Logging_1496/tillsynsmail/A 100-2023 tillsynsbegäran mail.docx", "A 100-2023")</f>
        <v/>
      </c>
    </row>
    <row r="42" ht="15" customHeight="1">
      <c r="A42" t="inlineStr">
        <is>
          <t>A 10602-2023</t>
        </is>
      </c>
      <c r="B42" s="1" t="n">
        <v>44988</v>
      </c>
      <c r="C42" s="1" t="n">
        <v>45875</v>
      </c>
      <c r="D42" t="inlineStr">
        <is>
          <t>VÄSTRA GÖTALANDS LÄN</t>
        </is>
      </c>
      <c r="E42" t="inlineStr">
        <is>
          <t>SKÖVDE</t>
        </is>
      </c>
      <c r="G42" t="n">
        <v>0.8</v>
      </c>
      <c r="H42" t="n">
        <v>0</v>
      </c>
      <c r="I42" t="n">
        <v>0</v>
      </c>
      <c r="J42" t="n">
        <v>0</v>
      </c>
      <c r="K42" t="n">
        <v>0</v>
      </c>
      <c r="L42" t="n">
        <v>1</v>
      </c>
      <c r="M42" t="n">
        <v>0</v>
      </c>
      <c r="N42" t="n">
        <v>0</v>
      </c>
      <c r="O42" t="n">
        <v>1</v>
      </c>
      <c r="P42" t="n">
        <v>1</v>
      </c>
      <c r="Q42" t="n">
        <v>1</v>
      </c>
      <c r="R42" s="2" t="inlineStr">
        <is>
          <t>Ask</t>
        </is>
      </c>
      <c r="S42">
        <f>HYPERLINK("https://klasma.github.io/Logging_1496/artfynd/A 10602-2023 artfynd.xlsx", "A 10602-2023")</f>
        <v/>
      </c>
      <c r="T42">
        <f>HYPERLINK("https://klasma.github.io/Logging_1496/kartor/A 10602-2023 karta.png", "A 10602-2023")</f>
        <v/>
      </c>
      <c r="V42">
        <f>HYPERLINK("https://klasma.github.io/Logging_1496/klagomål/A 10602-2023 FSC-klagomål.docx", "A 10602-2023")</f>
        <v/>
      </c>
      <c r="W42">
        <f>HYPERLINK("https://klasma.github.io/Logging_1496/klagomålsmail/A 10602-2023 FSC-klagomål mail.docx", "A 10602-2023")</f>
        <v/>
      </c>
      <c r="X42">
        <f>HYPERLINK("https://klasma.github.io/Logging_1496/tillsyn/A 10602-2023 tillsynsbegäran.docx", "A 10602-2023")</f>
        <v/>
      </c>
      <c r="Y42">
        <f>HYPERLINK("https://klasma.github.io/Logging_1496/tillsynsmail/A 10602-2023 tillsynsbegäran mail.docx", "A 10602-2023")</f>
        <v/>
      </c>
    </row>
    <row r="43" ht="15" customHeight="1">
      <c r="A43" t="inlineStr">
        <is>
          <t>A 10610-2023</t>
        </is>
      </c>
      <c r="B43" s="1" t="n">
        <v>44988</v>
      </c>
      <c r="C43" s="1" t="n">
        <v>45875</v>
      </c>
      <c r="D43" t="inlineStr">
        <is>
          <t>VÄSTRA GÖTALANDS LÄN</t>
        </is>
      </c>
      <c r="E43" t="inlineStr">
        <is>
          <t>SKÖVDE</t>
        </is>
      </c>
      <c r="F43" t="inlineStr">
        <is>
          <t>Kommuner</t>
        </is>
      </c>
      <c r="G43" t="n">
        <v>8</v>
      </c>
      <c r="H43" t="n">
        <v>1</v>
      </c>
      <c r="I43" t="n">
        <v>0</v>
      </c>
      <c r="J43" t="n">
        <v>0</v>
      </c>
      <c r="K43" t="n">
        <v>0</v>
      </c>
      <c r="L43" t="n">
        <v>0</v>
      </c>
      <c r="M43" t="n">
        <v>0</v>
      </c>
      <c r="N43" t="n">
        <v>0</v>
      </c>
      <c r="O43" t="n">
        <v>0</v>
      </c>
      <c r="P43" t="n">
        <v>0</v>
      </c>
      <c r="Q43" t="n">
        <v>1</v>
      </c>
      <c r="R43" s="2" t="inlineStr">
        <is>
          <t>Revlummer</t>
        </is>
      </c>
      <c r="S43">
        <f>HYPERLINK("https://klasma.github.io/Logging_1496/artfynd/A 10610-2023 artfynd.xlsx", "A 10610-2023")</f>
        <v/>
      </c>
      <c r="T43">
        <f>HYPERLINK("https://klasma.github.io/Logging_1496/kartor/A 10610-2023 karta.png", "A 10610-2023")</f>
        <v/>
      </c>
      <c r="V43">
        <f>HYPERLINK("https://klasma.github.io/Logging_1496/klagomål/A 10610-2023 FSC-klagomål.docx", "A 10610-2023")</f>
        <v/>
      </c>
      <c r="W43">
        <f>HYPERLINK("https://klasma.github.io/Logging_1496/klagomålsmail/A 10610-2023 FSC-klagomål mail.docx", "A 10610-2023")</f>
        <v/>
      </c>
      <c r="X43">
        <f>HYPERLINK("https://klasma.github.io/Logging_1496/tillsyn/A 10610-2023 tillsynsbegäran.docx", "A 10610-2023")</f>
        <v/>
      </c>
      <c r="Y43">
        <f>HYPERLINK("https://klasma.github.io/Logging_1496/tillsynsmail/A 10610-2023 tillsynsbegäran mail.docx", "A 10610-2023")</f>
        <v/>
      </c>
    </row>
    <row r="44" ht="15" customHeight="1">
      <c r="A44" t="inlineStr">
        <is>
          <t>A 20753-2023</t>
        </is>
      </c>
      <c r="B44" s="1" t="n">
        <v>45058</v>
      </c>
      <c r="C44" s="1" t="n">
        <v>45875</v>
      </c>
      <c r="D44" t="inlineStr">
        <is>
          <t>VÄSTRA GÖTALANDS LÄN</t>
        </is>
      </c>
      <c r="E44" t="inlineStr">
        <is>
          <t>SKÖVDE</t>
        </is>
      </c>
      <c r="G44" t="n">
        <v>2.9</v>
      </c>
      <c r="H44" t="n">
        <v>1</v>
      </c>
      <c r="I44" t="n">
        <v>1</v>
      </c>
      <c r="J44" t="n">
        <v>0</v>
      </c>
      <c r="K44" t="n">
        <v>0</v>
      </c>
      <c r="L44" t="n">
        <v>0</v>
      </c>
      <c r="M44" t="n">
        <v>0</v>
      </c>
      <c r="N44" t="n">
        <v>0</v>
      </c>
      <c r="O44" t="n">
        <v>0</v>
      </c>
      <c r="P44" t="n">
        <v>0</v>
      </c>
      <c r="Q44" t="n">
        <v>1</v>
      </c>
      <c r="R44" s="2" t="inlineStr">
        <is>
          <t>Tvåblad</t>
        </is>
      </c>
      <c r="S44">
        <f>HYPERLINK("https://klasma.github.io/Logging_1496/artfynd/A 20753-2023 artfynd.xlsx", "A 20753-2023")</f>
        <v/>
      </c>
      <c r="T44">
        <f>HYPERLINK("https://klasma.github.io/Logging_1496/kartor/A 20753-2023 karta.png", "A 20753-2023")</f>
        <v/>
      </c>
      <c r="V44">
        <f>HYPERLINK("https://klasma.github.io/Logging_1496/klagomål/A 20753-2023 FSC-klagomål.docx", "A 20753-2023")</f>
        <v/>
      </c>
      <c r="W44">
        <f>HYPERLINK("https://klasma.github.io/Logging_1496/klagomålsmail/A 20753-2023 FSC-klagomål mail.docx", "A 20753-2023")</f>
        <v/>
      </c>
      <c r="X44">
        <f>HYPERLINK("https://klasma.github.io/Logging_1496/tillsyn/A 20753-2023 tillsynsbegäran.docx", "A 20753-2023")</f>
        <v/>
      </c>
      <c r="Y44">
        <f>HYPERLINK("https://klasma.github.io/Logging_1496/tillsynsmail/A 20753-2023 tillsynsbegäran mail.docx", "A 20753-2023")</f>
        <v/>
      </c>
    </row>
    <row r="45" ht="15" customHeight="1">
      <c r="A45" t="inlineStr">
        <is>
          <t>A 42904-2023</t>
        </is>
      </c>
      <c r="B45" s="1" t="n">
        <v>45182</v>
      </c>
      <c r="C45" s="1" t="n">
        <v>45875</v>
      </c>
      <c r="D45" t="inlineStr">
        <is>
          <t>VÄSTRA GÖTALANDS LÄN</t>
        </is>
      </c>
      <c r="E45" t="inlineStr">
        <is>
          <t>SKÖVDE</t>
        </is>
      </c>
      <c r="F45" t="inlineStr">
        <is>
          <t>Kommuner</t>
        </is>
      </c>
      <c r="G45" t="n">
        <v>1.1</v>
      </c>
      <c r="H45" t="n">
        <v>1</v>
      </c>
      <c r="I45" t="n">
        <v>0</v>
      </c>
      <c r="J45" t="n">
        <v>0</v>
      </c>
      <c r="K45" t="n">
        <v>0</v>
      </c>
      <c r="L45" t="n">
        <v>0</v>
      </c>
      <c r="M45" t="n">
        <v>0</v>
      </c>
      <c r="N45" t="n">
        <v>0</v>
      </c>
      <c r="O45" t="n">
        <v>0</v>
      </c>
      <c r="P45" t="n">
        <v>0</v>
      </c>
      <c r="Q45" t="n">
        <v>1</v>
      </c>
      <c r="R45" s="2" t="inlineStr">
        <is>
          <t>Grönvit nattviol</t>
        </is>
      </c>
      <c r="S45">
        <f>HYPERLINK("https://klasma.github.io/Logging_1496/artfynd/A 42904-2023 artfynd.xlsx", "A 42904-2023")</f>
        <v/>
      </c>
      <c r="T45">
        <f>HYPERLINK("https://klasma.github.io/Logging_1496/kartor/A 42904-2023 karta.png", "A 42904-2023")</f>
        <v/>
      </c>
      <c r="V45">
        <f>HYPERLINK("https://klasma.github.io/Logging_1496/klagomål/A 42904-2023 FSC-klagomål.docx", "A 42904-2023")</f>
        <v/>
      </c>
      <c r="W45">
        <f>HYPERLINK("https://klasma.github.io/Logging_1496/klagomålsmail/A 42904-2023 FSC-klagomål mail.docx", "A 42904-2023")</f>
        <v/>
      </c>
      <c r="X45">
        <f>HYPERLINK("https://klasma.github.io/Logging_1496/tillsyn/A 42904-2023 tillsynsbegäran.docx", "A 42904-2023")</f>
        <v/>
      </c>
      <c r="Y45">
        <f>HYPERLINK("https://klasma.github.io/Logging_1496/tillsynsmail/A 42904-2023 tillsynsbegäran mail.docx", "A 42904-2023")</f>
        <v/>
      </c>
    </row>
    <row r="46" ht="15" customHeight="1">
      <c r="A46" t="inlineStr">
        <is>
          <t>A 47898-2023</t>
        </is>
      </c>
      <c r="B46" s="1" t="n">
        <v>45204</v>
      </c>
      <c r="C46" s="1" t="n">
        <v>45875</v>
      </c>
      <c r="D46" t="inlineStr">
        <is>
          <t>VÄSTRA GÖTALANDS LÄN</t>
        </is>
      </c>
      <c r="E46" t="inlineStr">
        <is>
          <t>SKÖVDE</t>
        </is>
      </c>
      <c r="G46" t="n">
        <v>9.5</v>
      </c>
      <c r="H46" t="n">
        <v>0</v>
      </c>
      <c r="I46" t="n">
        <v>0</v>
      </c>
      <c r="J46" t="n">
        <v>1</v>
      </c>
      <c r="K46" t="n">
        <v>0</v>
      </c>
      <c r="L46" t="n">
        <v>0</v>
      </c>
      <c r="M46" t="n">
        <v>0</v>
      </c>
      <c r="N46" t="n">
        <v>0</v>
      </c>
      <c r="O46" t="n">
        <v>1</v>
      </c>
      <c r="P46" t="n">
        <v>0</v>
      </c>
      <c r="Q46" t="n">
        <v>1</v>
      </c>
      <c r="R46" s="2" t="inlineStr">
        <is>
          <t>Erastia ochraceolateritia</t>
        </is>
      </c>
      <c r="S46">
        <f>HYPERLINK("https://klasma.github.io/Logging_1496/artfynd/A 47898-2023 artfynd.xlsx", "A 47898-2023")</f>
        <v/>
      </c>
      <c r="T46">
        <f>HYPERLINK("https://klasma.github.io/Logging_1496/kartor/A 47898-2023 karta.png", "A 47898-2023")</f>
        <v/>
      </c>
      <c r="V46">
        <f>HYPERLINK("https://klasma.github.io/Logging_1496/klagomål/A 47898-2023 FSC-klagomål.docx", "A 47898-2023")</f>
        <v/>
      </c>
      <c r="W46">
        <f>HYPERLINK("https://klasma.github.io/Logging_1496/klagomålsmail/A 47898-2023 FSC-klagomål mail.docx", "A 47898-2023")</f>
        <v/>
      </c>
      <c r="X46">
        <f>HYPERLINK("https://klasma.github.io/Logging_1496/tillsyn/A 47898-2023 tillsynsbegäran.docx", "A 47898-2023")</f>
        <v/>
      </c>
      <c r="Y46">
        <f>HYPERLINK("https://klasma.github.io/Logging_1496/tillsynsmail/A 47898-2023 tillsynsbegäran mail.docx", "A 47898-2023")</f>
        <v/>
      </c>
    </row>
    <row r="47" ht="15" customHeight="1">
      <c r="A47" t="inlineStr">
        <is>
          <t>A 60281-2023</t>
        </is>
      </c>
      <c r="B47" s="1" t="n">
        <v>45258</v>
      </c>
      <c r="C47" s="1" t="n">
        <v>45875</v>
      </c>
      <c r="D47" t="inlineStr">
        <is>
          <t>VÄSTRA GÖTALANDS LÄN</t>
        </is>
      </c>
      <c r="E47" t="inlineStr">
        <is>
          <t>SKÖVDE</t>
        </is>
      </c>
      <c r="G47" t="n">
        <v>4.3</v>
      </c>
      <c r="H47" t="n">
        <v>0</v>
      </c>
      <c r="I47" t="n">
        <v>0</v>
      </c>
      <c r="J47" t="n">
        <v>1</v>
      </c>
      <c r="K47" t="n">
        <v>0</v>
      </c>
      <c r="L47" t="n">
        <v>0</v>
      </c>
      <c r="M47" t="n">
        <v>0</v>
      </c>
      <c r="N47" t="n">
        <v>0</v>
      </c>
      <c r="O47" t="n">
        <v>1</v>
      </c>
      <c r="P47" t="n">
        <v>0</v>
      </c>
      <c r="Q47" t="n">
        <v>1</v>
      </c>
      <c r="R47" s="2" t="inlineStr">
        <is>
          <t>Stor sotdyna</t>
        </is>
      </c>
      <c r="S47">
        <f>HYPERLINK("https://klasma.github.io/Logging_1496/artfynd/A 60281-2023 artfynd.xlsx", "A 60281-2023")</f>
        <v/>
      </c>
      <c r="T47">
        <f>HYPERLINK("https://klasma.github.io/Logging_1496/kartor/A 60281-2023 karta.png", "A 60281-2023")</f>
        <v/>
      </c>
      <c r="V47">
        <f>HYPERLINK("https://klasma.github.io/Logging_1496/klagomål/A 60281-2023 FSC-klagomål.docx", "A 60281-2023")</f>
        <v/>
      </c>
      <c r="W47">
        <f>HYPERLINK("https://klasma.github.io/Logging_1496/klagomålsmail/A 60281-2023 FSC-klagomål mail.docx", "A 60281-2023")</f>
        <v/>
      </c>
      <c r="X47">
        <f>HYPERLINK("https://klasma.github.io/Logging_1496/tillsyn/A 60281-2023 tillsynsbegäran.docx", "A 60281-2023")</f>
        <v/>
      </c>
      <c r="Y47">
        <f>HYPERLINK("https://klasma.github.io/Logging_1496/tillsynsmail/A 60281-2023 tillsynsbegäran mail.docx", "A 60281-2023")</f>
        <v/>
      </c>
    </row>
    <row r="48" ht="15" customHeight="1">
      <c r="A48" t="inlineStr">
        <is>
          <t>A 1795-2024</t>
        </is>
      </c>
      <c r="B48" s="1" t="n">
        <v>45307</v>
      </c>
      <c r="C48" s="1" t="n">
        <v>45875</v>
      </c>
      <c r="D48" t="inlineStr">
        <is>
          <t>VÄSTRA GÖTALANDS LÄN</t>
        </is>
      </c>
      <c r="E48" t="inlineStr">
        <is>
          <t>SKÖVDE</t>
        </is>
      </c>
      <c r="G48" t="n">
        <v>0.5</v>
      </c>
      <c r="H48" t="n">
        <v>1</v>
      </c>
      <c r="I48" t="n">
        <v>1</v>
      </c>
      <c r="J48" t="n">
        <v>0</v>
      </c>
      <c r="K48" t="n">
        <v>0</v>
      </c>
      <c r="L48" t="n">
        <v>0</v>
      </c>
      <c r="M48" t="n">
        <v>0</v>
      </c>
      <c r="N48" t="n">
        <v>0</v>
      </c>
      <c r="O48" t="n">
        <v>0</v>
      </c>
      <c r="P48" t="n">
        <v>0</v>
      </c>
      <c r="Q48" t="n">
        <v>1</v>
      </c>
      <c r="R48" s="2" t="inlineStr">
        <is>
          <t>Nästrot</t>
        </is>
      </c>
      <c r="S48">
        <f>HYPERLINK("https://klasma.github.io/Logging_1496/artfynd/A 1795-2024 artfynd.xlsx", "A 1795-2024")</f>
        <v/>
      </c>
      <c r="T48">
        <f>HYPERLINK("https://klasma.github.io/Logging_1496/kartor/A 1795-2024 karta.png", "A 1795-2024")</f>
        <v/>
      </c>
      <c r="V48">
        <f>HYPERLINK("https://klasma.github.io/Logging_1496/klagomål/A 1795-2024 FSC-klagomål.docx", "A 1795-2024")</f>
        <v/>
      </c>
      <c r="W48">
        <f>HYPERLINK("https://klasma.github.io/Logging_1496/klagomålsmail/A 1795-2024 FSC-klagomål mail.docx", "A 1795-2024")</f>
        <v/>
      </c>
      <c r="X48">
        <f>HYPERLINK("https://klasma.github.io/Logging_1496/tillsyn/A 1795-2024 tillsynsbegäran.docx", "A 1795-2024")</f>
        <v/>
      </c>
      <c r="Y48">
        <f>HYPERLINK("https://klasma.github.io/Logging_1496/tillsynsmail/A 1795-2024 tillsynsbegäran mail.docx", "A 1795-2024")</f>
        <v/>
      </c>
    </row>
    <row r="49" ht="15" customHeight="1">
      <c r="A49" t="inlineStr">
        <is>
          <t>A 3473-2024</t>
        </is>
      </c>
      <c r="B49" s="1" t="n">
        <v>45320</v>
      </c>
      <c r="C49" s="1" t="n">
        <v>45875</v>
      </c>
      <c r="D49" t="inlineStr">
        <is>
          <t>VÄSTRA GÖTALANDS LÄN</t>
        </is>
      </c>
      <c r="E49" t="inlineStr">
        <is>
          <t>SKÖVDE</t>
        </is>
      </c>
      <c r="G49" t="n">
        <v>4.7</v>
      </c>
      <c r="H49" t="n">
        <v>0</v>
      </c>
      <c r="I49" t="n">
        <v>0</v>
      </c>
      <c r="J49" t="n">
        <v>1</v>
      </c>
      <c r="K49" t="n">
        <v>0</v>
      </c>
      <c r="L49" t="n">
        <v>0</v>
      </c>
      <c r="M49" t="n">
        <v>0</v>
      </c>
      <c r="N49" t="n">
        <v>0</v>
      </c>
      <c r="O49" t="n">
        <v>1</v>
      </c>
      <c r="P49" t="n">
        <v>0</v>
      </c>
      <c r="Q49" t="n">
        <v>1</v>
      </c>
      <c r="R49" s="2" t="inlineStr">
        <is>
          <t>Sexfläckig bastardsvärmare</t>
        </is>
      </c>
      <c r="S49">
        <f>HYPERLINK("https://klasma.github.io/Logging_1496/artfynd/A 3473-2024 artfynd.xlsx", "A 3473-2024")</f>
        <v/>
      </c>
      <c r="T49">
        <f>HYPERLINK("https://klasma.github.io/Logging_1496/kartor/A 3473-2024 karta.png", "A 3473-2024")</f>
        <v/>
      </c>
      <c r="V49">
        <f>HYPERLINK("https://klasma.github.io/Logging_1496/klagomål/A 3473-2024 FSC-klagomål.docx", "A 3473-2024")</f>
        <v/>
      </c>
      <c r="W49">
        <f>HYPERLINK("https://klasma.github.io/Logging_1496/klagomålsmail/A 3473-2024 FSC-klagomål mail.docx", "A 3473-2024")</f>
        <v/>
      </c>
      <c r="X49">
        <f>HYPERLINK("https://klasma.github.io/Logging_1496/tillsyn/A 3473-2024 tillsynsbegäran.docx", "A 3473-2024")</f>
        <v/>
      </c>
      <c r="Y49">
        <f>HYPERLINK("https://klasma.github.io/Logging_1496/tillsynsmail/A 3473-2024 tillsynsbegäran mail.docx", "A 3473-2024")</f>
        <v/>
      </c>
    </row>
    <row r="50" ht="15" customHeight="1">
      <c r="A50" t="inlineStr">
        <is>
          <t>A 22556-2024</t>
        </is>
      </c>
      <c r="B50" s="1" t="n">
        <v>45447</v>
      </c>
      <c r="C50" s="1" t="n">
        <v>45875</v>
      </c>
      <c r="D50" t="inlineStr">
        <is>
          <t>VÄSTRA GÖTALANDS LÄN</t>
        </is>
      </c>
      <c r="E50" t="inlineStr">
        <is>
          <t>SKÖVDE</t>
        </is>
      </c>
      <c r="G50" t="n">
        <v>1.4</v>
      </c>
      <c r="H50" t="n">
        <v>0</v>
      </c>
      <c r="I50" t="n">
        <v>0</v>
      </c>
      <c r="J50" t="n">
        <v>1</v>
      </c>
      <c r="K50" t="n">
        <v>0</v>
      </c>
      <c r="L50" t="n">
        <v>0</v>
      </c>
      <c r="M50" t="n">
        <v>0</v>
      </c>
      <c r="N50" t="n">
        <v>0</v>
      </c>
      <c r="O50" t="n">
        <v>1</v>
      </c>
      <c r="P50" t="n">
        <v>0</v>
      </c>
      <c r="Q50" t="n">
        <v>1</v>
      </c>
      <c r="R50" s="2" t="inlineStr">
        <is>
          <t>Svinrot</t>
        </is>
      </c>
      <c r="S50">
        <f>HYPERLINK("https://klasma.github.io/Logging_1496/artfynd/A 22556-2024 artfynd.xlsx", "A 22556-2024")</f>
        <v/>
      </c>
      <c r="T50">
        <f>HYPERLINK("https://klasma.github.io/Logging_1496/kartor/A 22556-2024 karta.png", "A 22556-2024")</f>
        <v/>
      </c>
      <c r="V50">
        <f>HYPERLINK("https://klasma.github.io/Logging_1496/klagomål/A 22556-2024 FSC-klagomål.docx", "A 22556-2024")</f>
        <v/>
      </c>
      <c r="W50">
        <f>HYPERLINK("https://klasma.github.io/Logging_1496/klagomålsmail/A 22556-2024 FSC-klagomål mail.docx", "A 22556-2024")</f>
        <v/>
      </c>
      <c r="X50">
        <f>HYPERLINK("https://klasma.github.io/Logging_1496/tillsyn/A 22556-2024 tillsynsbegäran.docx", "A 22556-2024")</f>
        <v/>
      </c>
      <c r="Y50">
        <f>HYPERLINK("https://klasma.github.io/Logging_1496/tillsynsmail/A 22556-2024 tillsynsbegäran mail.docx", "A 22556-2024")</f>
        <v/>
      </c>
    </row>
    <row r="51" ht="15" customHeight="1">
      <c r="A51" t="inlineStr">
        <is>
          <t>A 23092-2024</t>
        </is>
      </c>
      <c r="B51" s="1" t="n">
        <v>45450</v>
      </c>
      <c r="C51" s="1" t="n">
        <v>45875</v>
      </c>
      <c r="D51" t="inlineStr">
        <is>
          <t>VÄSTRA GÖTALANDS LÄN</t>
        </is>
      </c>
      <c r="E51" t="inlineStr">
        <is>
          <t>SKÖVDE</t>
        </is>
      </c>
      <c r="G51" t="n">
        <v>4.9</v>
      </c>
      <c r="H51" t="n">
        <v>0</v>
      </c>
      <c r="I51" t="n">
        <v>1</v>
      </c>
      <c r="J51" t="n">
        <v>0</v>
      </c>
      <c r="K51" t="n">
        <v>0</v>
      </c>
      <c r="L51" t="n">
        <v>0</v>
      </c>
      <c r="M51" t="n">
        <v>0</v>
      </c>
      <c r="N51" t="n">
        <v>0</v>
      </c>
      <c r="O51" t="n">
        <v>0</v>
      </c>
      <c r="P51" t="n">
        <v>0</v>
      </c>
      <c r="Q51" t="n">
        <v>1</v>
      </c>
      <c r="R51" s="2" t="inlineStr">
        <is>
          <t>Svart trolldruva</t>
        </is>
      </c>
      <c r="S51">
        <f>HYPERLINK("https://klasma.github.io/Logging_1496/artfynd/A 23092-2024 artfynd.xlsx", "A 23092-2024")</f>
        <v/>
      </c>
      <c r="T51">
        <f>HYPERLINK("https://klasma.github.io/Logging_1496/kartor/A 23092-2024 karta.png", "A 23092-2024")</f>
        <v/>
      </c>
      <c r="V51">
        <f>HYPERLINK("https://klasma.github.io/Logging_1496/klagomål/A 23092-2024 FSC-klagomål.docx", "A 23092-2024")</f>
        <v/>
      </c>
      <c r="W51">
        <f>HYPERLINK("https://klasma.github.io/Logging_1496/klagomålsmail/A 23092-2024 FSC-klagomål mail.docx", "A 23092-2024")</f>
        <v/>
      </c>
      <c r="X51">
        <f>HYPERLINK("https://klasma.github.io/Logging_1496/tillsyn/A 23092-2024 tillsynsbegäran.docx", "A 23092-2024")</f>
        <v/>
      </c>
      <c r="Y51">
        <f>HYPERLINK("https://klasma.github.io/Logging_1496/tillsynsmail/A 23092-2024 tillsynsbegäran mail.docx", "A 23092-2024")</f>
        <v/>
      </c>
    </row>
    <row r="52" ht="15" customHeight="1">
      <c r="A52" t="inlineStr">
        <is>
          <t>A 32422-2024</t>
        </is>
      </c>
      <c r="B52" s="1" t="n">
        <v>45512</v>
      </c>
      <c r="C52" s="1" t="n">
        <v>45875</v>
      </c>
      <c r="D52" t="inlineStr">
        <is>
          <t>VÄSTRA GÖTALANDS LÄN</t>
        </is>
      </c>
      <c r="E52" t="inlineStr">
        <is>
          <t>SKÖVDE</t>
        </is>
      </c>
      <c r="G52" t="n">
        <v>3</v>
      </c>
      <c r="H52" t="n">
        <v>0</v>
      </c>
      <c r="I52" t="n">
        <v>0</v>
      </c>
      <c r="J52" t="n">
        <v>1</v>
      </c>
      <c r="K52" t="n">
        <v>0</v>
      </c>
      <c r="L52" t="n">
        <v>0</v>
      </c>
      <c r="M52" t="n">
        <v>0</v>
      </c>
      <c r="N52" t="n">
        <v>0</v>
      </c>
      <c r="O52" t="n">
        <v>1</v>
      </c>
      <c r="P52" t="n">
        <v>0</v>
      </c>
      <c r="Q52" t="n">
        <v>1</v>
      </c>
      <c r="R52" s="2" t="inlineStr">
        <is>
          <t>Slåtterfibbla</t>
        </is>
      </c>
      <c r="S52">
        <f>HYPERLINK("https://klasma.github.io/Logging_1496/artfynd/A 32422-2024 artfynd.xlsx", "A 32422-2024")</f>
        <v/>
      </c>
      <c r="T52">
        <f>HYPERLINK("https://klasma.github.io/Logging_1496/kartor/A 32422-2024 karta.png", "A 32422-2024")</f>
        <v/>
      </c>
      <c r="V52">
        <f>HYPERLINK("https://klasma.github.io/Logging_1496/klagomål/A 32422-2024 FSC-klagomål.docx", "A 32422-2024")</f>
        <v/>
      </c>
      <c r="W52">
        <f>HYPERLINK("https://klasma.github.io/Logging_1496/klagomålsmail/A 32422-2024 FSC-klagomål mail.docx", "A 32422-2024")</f>
        <v/>
      </c>
      <c r="X52">
        <f>HYPERLINK("https://klasma.github.io/Logging_1496/tillsyn/A 32422-2024 tillsynsbegäran.docx", "A 32422-2024")</f>
        <v/>
      </c>
      <c r="Y52">
        <f>HYPERLINK("https://klasma.github.io/Logging_1496/tillsynsmail/A 32422-2024 tillsynsbegäran mail.docx", "A 32422-2024")</f>
        <v/>
      </c>
    </row>
    <row r="53" ht="15" customHeight="1">
      <c r="A53" t="inlineStr">
        <is>
          <t>A 58467-2024</t>
        </is>
      </c>
      <c r="B53" s="1" t="n">
        <v>45635</v>
      </c>
      <c r="C53" s="1" t="n">
        <v>45875</v>
      </c>
      <c r="D53" t="inlineStr">
        <is>
          <t>VÄSTRA GÖTALANDS LÄN</t>
        </is>
      </c>
      <c r="E53" t="inlineStr">
        <is>
          <t>SKÖVDE</t>
        </is>
      </c>
      <c r="G53" t="n">
        <v>1</v>
      </c>
      <c r="H53" t="n">
        <v>0</v>
      </c>
      <c r="I53" t="n">
        <v>0</v>
      </c>
      <c r="J53" t="n">
        <v>1</v>
      </c>
      <c r="K53" t="n">
        <v>0</v>
      </c>
      <c r="L53" t="n">
        <v>0</v>
      </c>
      <c r="M53" t="n">
        <v>0</v>
      </c>
      <c r="N53" t="n">
        <v>0</v>
      </c>
      <c r="O53" t="n">
        <v>1</v>
      </c>
      <c r="P53" t="n">
        <v>0</v>
      </c>
      <c r="Q53" t="n">
        <v>1</v>
      </c>
      <c r="R53" s="2" t="inlineStr">
        <is>
          <t>Sommarfibbla</t>
        </is>
      </c>
      <c r="S53">
        <f>HYPERLINK("https://klasma.github.io/Logging_1496/artfynd/A 58467-2024 artfynd.xlsx", "A 58467-2024")</f>
        <v/>
      </c>
      <c r="T53">
        <f>HYPERLINK("https://klasma.github.io/Logging_1496/kartor/A 58467-2024 karta.png", "A 58467-2024")</f>
        <v/>
      </c>
      <c r="V53">
        <f>HYPERLINK("https://klasma.github.io/Logging_1496/klagomål/A 58467-2024 FSC-klagomål.docx", "A 58467-2024")</f>
        <v/>
      </c>
      <c r="W53">
        <f>HYPERLINK("https://klasma.github.io/Logging_1496/klagomålsmail/A 58467-2024 FSC-klagomål mail.docx", "A 58467-2024")</f>
        <v/>
      </c>
      <c r="X53">
        <f>HYPERLINK("https://klasma.github.io/Logging_1496/tillsyn/A 58467-2024 tillsynsbegäran.docx", "A 58467-2024")</f>
        <v/>
      </c>
      <c r="Y53">
        <f>HYPERLINK("https://klasma.github.io/Logging_1496/tillsynsmail/A 58467-2024 tillsynsbegäran mail.docx", "A 58467-2024")</f>
        <v/>
      </c>
    </row>
    <row r="54" ht="15" customHeight="1">
      <c r="A54" t="inlineStr">
        <is>
          <t>A 17841-2019</t>
        </is>
      </c>
      <c r="B54" s="1" t="n">
        <v>43556</v>
      </c>
      <c r="C54" s="1" t="n">
        <v>45875</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17839-2019</t>
        </is>
      </c>
      <c r="B55" s="1" t="n">
        <v>43556</v>
      </c>
      <c r="C55" s="1" t="n">
        <v>45875</v>
      </c>
      <c r="D55" t="inlineStr">
        <is>
          <t>VÄSTRA GÖTALANDS LÄN</t>
        </is>
      </c>
      <c r="E55" t="inlineStr">
        <is>
          <t>SKÖVDE</t>
        </is>
      </c>
      <c r="G55" t="n">
        <v>2.3</v>
      </c>
      <c r="H55" t="n">
        <v>0</v>
      </c>
      <c r="I55" t="n">
        <v>0</v>
      </c>
      <c r="J55" t="n">
        <v>0</v>
      </c>
      <c r="K55" t="n">
        <v>0</v>
      </c>
      <c r="L55" t="n">
        <v>0</v>
      </c>
      <c r="M55" t="n">
        <v>0</v>
      </c>
      <c r="N55" t="n">
        <v>0</v>
      </c>
      <c r="O55" t="n">
        <v>0</v>
      </c>
      <c r="P55" t="n">
        <v>0</v>
      </c>
      <c r="Q55" t="n">
        <v>0</v>
      </c>
      <c r="R55" s="2" t="inlineStr"/>
    </row>
    <row r="56" ht="15" customHeight="1">
      <c r="A56" t="inlineStr">
        <is>
          <t>A 19741-2019</t>
        </is>
      </c>
      <c r="B56" s="1" t="n">
        <v>43567</v>
      </c>
      <c r="C56" s="1" t="n">
        <v>45875</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20660-2019</t>
        </is>
      </c>
      <c r="B57" s="1" t="n">
        <v>43572</v>
      </c>
      <c r="C57" s="1" t="n">
        <v>45875</v>
      </c>
      <c r="D57" t="inlineStr">
        <is>
          <t>VÄSTRA GÖTALANDS LÄN</t>
        </is>
      </c>
      <c r="E57" t="inlineStr">
        <is>
          <t>SKÖVDE</t>
        </is>
      </c>
      <c r="G57" t="n">
        <v>5.5</v>
      </c>
      <c r="H57" t="n">
        <v>0</v>
      </c>
      <c r="I57" t="n">
        <v>0</v>
      </c>
      <c r="J57" t="n">
        <v>0</v>
      </c>
      <c r="K57" t="n">
        <v>0</v>
      </c>
      <c r="L57" t="n">
        <v>0</v>
      </c>
      <c r="M57" t="n">
        <v>0</v>
      </c>
      <c r="N57" t="n">
        <v>0</v>
      </c>
      <c r="O57" t="n">
        <v>0</v>
      </c>
      <c r="P57" t="n">
        <v>0</v>
      </c>
      <c r="Q57" t="n">
        <v>0</v>
      </c>
      <c r="R57" s="2" t="inlineStr"/>
    </row>
    <row r="58" ht="15" customHeight="1">
      <c r="A58" t="inlineStr">
        <is>
          <t>A 23094-2019</t>
        </is>
      </c>
      <c r="B58" s="1" t="n">
        <v>43592</v>
      </c>
      <c r="C58" s="1" t="n">
        <v>45875</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23943-2019</t>
        </is>
      </c>
      <c r="B59" s="1" t="n">
        <v>43596</v>
      </c>
      <c r="C59" s="1" t="n">
        <v>45875</v>
      </c>
      <c r="D59" t="inlineStr">
        <is>
          <t>VÄSTRA GÖTALANDS LÄN</t>
        </is>
      </c>
      <c r="E59" t="inlineStr">
        <is>
          <t>SKÖVDE</t>
        </is>
      </c>
      <c r="G59" t="n">
        <v>5.3</v>
      </c>
      <c r="H59" t="n">
        <v>0</v>
      </c>
      <c r="I59" t="n">
        <v>0</v>
      </c>
      <c r="J59" t="n">
        <v>0</v>
      </c>
      <c r="K59" t="n">
        <v>0</v>
      </c>
      <c r="L59" t="n">
        <v>0</v>
      </c>
      <c r="M59" t="n">
        <v>0</v>
      </c>
      <c r="N59" t="n">
        <v>0</v>
      </c>
      <c r="O59" t="n">
        <v>0</v>
      </c>
      <c r="P59" t="n">
        <v>0</v>
      </c>
      <c r="Q59" t="n">
        <v>0</v>
      </c>
      <c r="R59" s="2" t="inlineStr"/>
    </row>
    <row r="60" ht="15" customHeight="1">
      <c r="A60" t="inlineStr">
        <is>
          <t>A 23944-2019</t>
        </is>
      </c>
      <c r="B60" s="1" t="n">
        <v>43596</v>
      </c>
      <c r="C60" s="1" t="n">
        <v>45875</v>
      </c>
      <c r="D60" t="inlineStr">
        <is>
          <t>VÄSTRA GÖTALANDS LÄN</t>
        </is>
      </c>
      <c r="E60" t="inlineStr">
        <is>
          <t>SKÖVDE</t>
        </is>
      </c>
      <c r="G60" t="n">
        <v>0.7</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45875</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45875</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45875</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45875</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45875</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45875</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45875</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45875</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45875</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45875</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45875</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45875</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45875</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45875</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45875</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45875</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45875</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45875</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45875</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45875</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45875</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45875</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45875</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45875</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45875</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45875</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45875</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45875</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45875</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45875</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45875</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45875</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45875</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45875</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45875</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45875</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45875</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45875</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45875</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45875</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45875</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45875</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45875</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45875</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45875</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45875</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45875</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45875</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45875</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45875</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45875</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45875</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45875</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45875</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45875</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45875</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45875</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45875</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45875</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45875</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45875</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45875</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45875</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45875</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45875</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45875</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45875</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45875</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45875</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45875</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45875</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45875</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45875</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45875</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45875</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45875</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45875</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45875</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45875</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45875</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45875</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45875</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45875</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45875</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45875</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45875</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45875</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45875</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45875</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45875</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45875</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45875</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45875</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45875</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45875</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45875</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45875</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45875</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45875</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45875</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45875</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45875</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45875</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45875</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45875</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45875</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45875</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45875</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45875</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45875</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45875</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45875</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45875</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45875</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45875</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45875</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45875</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45875</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45875</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45875</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45875</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45875</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45875</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45875</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45875</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45875</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45875</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45875</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45875</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45875</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45875</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45875</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45875</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45875</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45875</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45875</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45875</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45875</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45875</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45875</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45875</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45875</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45875</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45875</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45875</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45875</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45875</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45875</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45875</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45875</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45875</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45875</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45875</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45875</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45875</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45875</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45875</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45875</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45875</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45875</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45875</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45875</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45875</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45875</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45875</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45875</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45875</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45875</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45875</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45875</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45875</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45875</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45875</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45875</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45875</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45875</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45875</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45875</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45875</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45875</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45875</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45875</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45875</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45875</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45875</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45875</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45875</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45875</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45875</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45875</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45875</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45875</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45875</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45875</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45875</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45875</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45875</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45875</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45875</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45875</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45875</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45875</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45875</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45875</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45875</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45875</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45875</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45875</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45875</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45875</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45875</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45875</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45875</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45875</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45875</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45875</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45875</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45875</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45875</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45875</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45875</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45875</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45875</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45875</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45875</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45875</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45875</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45875</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45875</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45875</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45875</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45875</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45875</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45875</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45875</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45875</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45875</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45875</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45875</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45875</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45875</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45875</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45875</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45875</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45875</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45875</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45875</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45875</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45875</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45875</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45875</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45875</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45875</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45875</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45875</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45875</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45875</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45875</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45875</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45875</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45875</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45875</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45875</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45875</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45875</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45875</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45875</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45875</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45875</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45875</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45875</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45875</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45875</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45875</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45875</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45875</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45875</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45875</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45875</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45875</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45875</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45875</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45875</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45875</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45875</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45875</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45875</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45875</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45875</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45875</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45875</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45875</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45875</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45875</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45875</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45875</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45875</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45875</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45875</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45875</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45875</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45875</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45875</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45875</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45875</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45875</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45875</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45875</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45875</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45875</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45875</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45875</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45875</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45875</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45875</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45875</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45875</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45875</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45875</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45875</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45875</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45875</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45875</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45875</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45875</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45875</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45875</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45875</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45875</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45875</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45875</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45875</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45875</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45875</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45875</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45875</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45875</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45875</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45875</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45875</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45875</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45875</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45875</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45875</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45875</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45875</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45875</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45875</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45875</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45875</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45875</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45875</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45875</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45875</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45875</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45875</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45875</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45875</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45875</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45875</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45875</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45875</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45875</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45875</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45875</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45875</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45875</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45875</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45875</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45875</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45875</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45875</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45875</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45875</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45875</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45875</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45875</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45875</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45875</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45875</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45875</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45875</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45875</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45875</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45875</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45875</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45875</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45875</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45875</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45875</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45875</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45875</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45875</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45875</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45875</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45875</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45875</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45875</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45875</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45875</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45875</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45875</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45875</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45875</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45875</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45875</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45875</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45875</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45875</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45875</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45875</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45875</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45875</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45875</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45875</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45875</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45875</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45875</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45875</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45875</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45875</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45875</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45875</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45875</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45875</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45875</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45875</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45875</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45875</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45875</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45875</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45875</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45875</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45875</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45875</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45875</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45875</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45875</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45875</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45875</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45875</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45875</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45875</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45875</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45875</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45875</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45875</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45875</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45875</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45875</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45875</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45875</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45875</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45875</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45875</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45875</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45875</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45875</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45875</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45875</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45875</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45875</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45875</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45875</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45875</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29012-2025</t>
        </is>
      </c>
      <c r="B526" s="1" t="n">
        <v>45821</v>
      </c>
      <c r="C526" s="1" t="n">
        <v>45875</v>
      </c>
      <c r="D526" t="inlineStr">
        <is>
          <t>VÄSTRA GÖTALANDS LÄN</t>
        </is>
      </c>
      <c r="E526" t="inlineStr">
        <is>
          <t>SKÖVDE</t>
        </is>
      </c>
      <c r="G526" t="n">
        <v>4.5</v>
      </c>
      <c r="H526" t="n">
        <v>0</v>
      </c>
      <c r="I526" t="n">
        <v>0</v>
      </c>
      <c r="J526" t="n">
        <v>0</v>
      </c>
      <c r="K526" t="n">
        <v>0</v>
      </c>
      <c r="L526" t="n">
        <v>0</v>
      </c>
      <c r="M526" t="n">
        <v>0</v>
      </c>
      <c r="N526" t="n">
        <v>0</v>
      </c>
      <c r="O526" t="n">
        <v>0</v>
      </c>
      <c r="P526" t="n">
        <v>0</v>
      </c>
      <c r="Q526" t="n">
        <v>0</v>
      </c>
      <c r="R526" s="2" t="inlineStr"/>
    </row>
    <row r="527" ht="15" customHeight="1">
      <c r="A527" t="inlineStr">
        <is>
          <t>A 29023-2025</t>
        </is>
      </c>
      <c r="B527" s="1" t="n">
        <v>45821</v>
      </c>
      <c r="C527" s="1" t="n">
        <v>45875</v>
      </c>
      <c r="D527" t="inlineStr">
        <is>
          <t>VÄSTRA GÖTALANDS LÄN</t>
        </is>
      </c>
      <c r="E527" t="inlineStr">
        <is>
          <t>SKÖVDE</t>
        </is>
      </c>
      <c r="G527" t="n">
        <v>2.5</v>
      </c>
      <c r="H527" t="n">
        <v>0</v>
      </c>
      <c r="I527" t="n">
        <v>0</v>
      </c>
      <c r="J527" t="n">
        <v>0</v>
      </c>
      <c r="K527" t="n">
        <v>0</v>
      </c>
      <c r="L527" t="n">
        <v>0</v>
      </c>
      <c r="M527" t="n">
        <v>0</v>
      </c>
      <c r="N527" t="n">
        <v>0</v>
      </c>
      <c r="O527" t="n">
        <v>0</v>
      </c>
      <c r="P527" t="n">
        <v>0</v>
      </c>
      <c r="Q527" t="n">
        <v>0</v>
      </c>
      <c r="R527" s="2" t="inlineStr"/>
    </row>
    <row r="528" ht="15" customHeight="1">
      <c r="A528" t="inlineStr">
        <is>
          <t>A 29015-2025</t>
        </is>
      </c>
      <c r="B528" s="1" t="n">
        <v>45821</v>
      </c>
      <c r="C528" s="1" t="n">
        <v>45875</v>
      </c>
      <c r="D528" t="inlineStr">
        <is>
          <t>VÄSTRA GÖTALANDS LÄN</t>
        </is>
      </c>
      <c r="E528" t="inlineStr">
        <is>
          <t>SKÖVDE</t>
        </is>
      </c>
      <c r="G528" t="n">
        <v>2.1</v>
      </c>
      <c r="H528" t="n">
        <v>0</v>
      </c>
      <c r="I528" t="n">
        <v>0</v>
      </c>
      <c r="J528" t="n">
        <v>0</v>
      </c>
      <c r="K528" t="n">
        <v>0</v>
      </c>
      <c r="L528" t="n">
        <v>0</v>
      </c>
      <c r="M528" t="n">
        <v>0</v>
      </c>
      <c r="N528" t="n">
        <v>0</v>
      </c>
      <c r="O528" t="n">
        <v>0</v>
      </c>
      <c r="P528" t="n">
        <v>0</v>
      </c>
      <c r="Q528" t="n">
        <v>0</v>
      </c>
      <c r="R528" s="2" t="inlineStr"/>
    </row>
    <row r="529" ht="15" customHeight="1">
      <c r="A529" t="inlineStr">
        <is>
          <t>A 29017-2025</t>
        </is>
      </c>
      <c r="B529" s="1" t="n">
        <v>45821</v>
      </c>
      <c r="C529" s="1" t="n">
        <v>45875</v>
      </c>
      <c r="D529" t="inlineStr">
        <is>
          <t>VÄSTRA GÖTALANDS LÄN</t>
        </is>
      </c>
      <c r="E529" t="inlineStr">
        <is>
          <t>SKÖVDE</t>
        </is>
      </c>
      <c r="G529" t="n">
        <v>2.2</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45875</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45875</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30150-2025</t>
        </is>
      </c>
      <c r="B532" s="1" t="n">
        <v>45827</v>
      </c>
      <c r="C532" s="1" t="n">
        <v>45875</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row r="533" ht="15" customHeight="1">
      <c r="A533" t="inlineStr">
        <is>
          <t>A 32837-2025</t>
        </is>
      </c>
      <c r="B533" s="1" t="n">
        <v>45839</v>
      </c>
      <c r="C533" s="1" t="n">
        <v>45875</v>
      </c>
      <c r="D533" t="inlineStr">
        <is>
          <t>VÄSTRA GÖTALANDS LÄN</t>
        </is>
      </c>
      <c r="E533" t="inlineStr">
        <is>
          <t>SKÖVDE</t>
        </is>
      </c>
      <c r="G533" t="n">
        <v>0.9</v>
      </c>
      <c r="H533" t="n">
        <v>0</v>
      </c>
      <c r="I533" t="n">
        <v>0</v>
      </c>
      <c r="J533" t="n">
        <v>0</v>
      </c>
      <c r="K533" t="n">
        <v>0</v>
      </c>
      <c r="L533" t="n">
        <v>0</v>
      </c>
      <c r="M533" t="n">
        <v>0</v>
      </c>
      <c r="N533" t="n">
        <v>0</v>
      </c>
      <c r="O533" t="n">
        <v>0</v>
      </c>
      <c r="P533" t="n">
        <v>0</v>
      </c>
      <c r="Q533" t="n">
        <v>0</v>
      </c>
      <c r="R533" s="2" t="inlineStr"/>
    </row>
    <row r="534" ht="15" customHeight="1">
      <c r="A534" t="inlineStr">
        <is>
          <t>A 33053-2025</t>
        </is>
      </c>
      <c r="B534" s="1" t="n">
        <v>45840</v>
      </c>
      <c r="C534" s="1" t="n">
        <v>45875</v>
      </c>
      <c r="D534" t="inlineStr">
        <is>
          <t>VÄSTRA GÖTALANDS LÄN</t>
        </is>
      </c>
      <c r="E534" t="inlineStr">
        <is>
          <t>SKÖVDE</t>
        </is>
      </c>
      <c r="G534" t="n">
        <v>4.2</v>
      </c>
      <c r="H534" t="n">
        <v>0</v>
      </c>
      <c r="I534" t="n">
        <v>0</v>
      </c>
      <c r="J534" t="n">
        <v>0</v>
      </c>
      <c r="K534" t="n">
        <v>0</v>
      </c>
      <c r="L534" t="n">
        <v>0</v>
      </c>
      <c r="M534" t="n">
        <v>0</v>
      </c>
      <c r="N534" t="n">
        <v>0</v>
      </c>
      <c r="O534" t="n">
        <v>0</v>
      </c>
      <c r="P534" t="n">
        <v>0</v>
      </c>
      <c r="Q534" t="n">
        <v>0</v>
      </c>
      <c r="R534" s="2" t="inlineStr"/>
    </row>
    <row r="535" ht="15" customHeight="1">
      <c r="A535" t="inlineStr">
        <is>
          <t>A 33861-2025</t>
        </is>
      </c>
      <c r="B535" s="1" t="n">
        <v>45842</v>
      </c>
      <c r="C535" s="1" t="n">
        <v>45875</v>
      </c>
      <c r="D535" t="inlineStr">
        <is>
          <t>VÄSTRA GÖTALANDS LÄN</t>
        </is>
      </c>
      <c r="E535" t="inlineStr">
        <is>
          <t>SKÖVDE</t>
        </is>
      </c>
      <c r="G535" t="n">
        <v>3</v>
      </c>
      <c r="H535" t="n">
        <v>0</v>
      </c>
      <c r="I535" t="n">
        <v>0</v>
      </c>
      <c r="J535" t="n">
        <v>0</v>
      </c>
      <c r="K535" t="n">
        <v>0</v>
      </c>
      <c r="L535" t="n">
        <v>0</v>
      </c>
      <c r="M535" t="n">
        <v>0</v>
      </c>
      <c r="N535" t="n">
        <v>0</v>
      </c>
      <c r="O535" t="n">
        <v>0</v>
      </c>
      <c r="P535" t="n">
        <v>0</v>
      </c>
      <c r="Q535" t="n">
        <v>0</v>
      </c>
      <c r="R535" s="2" t="inlineStr"/>
    </row>
    <row r="536" ht="15" customHeight="1">
      <c r="A536" t="inlineStr">
        <is>
          <t>A 34412-2025</t>
        </is>
      </c>
      <c r="B536" s="1" t="n">
        <v>45846</v>
      </c>
      <c r="C536" s="1" t="n">
        <v>45875</v>
      </c>
      <c r="D536" t="inlineStr">
        <is>
          <t>VÄSTRA GÖTALANDS LÄN</t>
        </is>
      </c>
      <c r="E536" t="inlineStr">
        <is>
          <t>SKÖVDE</t>
        </is>
      </c>
      <c r="G536" t="n">
        <v>2.7</v>
      </c>
      <c r="H536" t="n">
        <v>0</v>
      </c>
      <c r="I536" t="n">
        <v>0</v>
      </c>
      <c r="J536" t="n">
        <v>0</v>
      </c>
      <c r="K536" t="n">
        <v>0</v>
      </c>
      <c r="L536" t="n">
        <v>0</v>
      </c>
      <c r="M536" t="n">
        <v>0</v>
      </c>
      <c r="N536" t="n">
        <v>0</v>
      </c>
      <c r="O536" t="n">
        <v>0</v>
      </c>
      <c r="P536" t="n">
        <v>0</v>
      </c>
      <c r="Q536" t="n">
        <v>0</v>
      </c>
      <c r="R536" s="2" t="inlineStr"/>
    </row>
    <row r="537" ht="15" customHeight="1">
      <c r="A537" t="inlineStr">
        <is>
          <t>A 34416-2025</t>
        </is>
      </c>
      <c r="B537" s="1" t="n">
        <v>45846</v>
      </c>
      <c r="C537" s="1" t="n">
        <v>45875</v>
      </c>
      <c r="D537" t="inlineStr">
        <is>
          <t>VÄSTRA GÖTALANDS LÄN</t>
        </is>
      </c>
      <c r="E537" t="inlineStr">
        <is>
          <t>SKÖVDE</t>
        </is>
      </c>
      <c r="G537" t="n">
        <v>4.9</v>
      </c>
      <c r="H537" t="n">
        <v>0</v>
      </c>
      <c r="I537" t="n">
        <v>0</v>
      </c>
      <c r="J537" t="n">
        <v>0</v>
      </c>
      <c r="K537" t="n">
        <v>0</v>
      </c>
      <c r="L537" t="n">
        <v>0</v>
      </c>
      <c r="M537" t="n">
        <v>0</v>
      </c>
      <c r="N537" t="n">
        <v>0</v>
      </c>
      <c r="O537" t="n">
        <v>0</v>
      </c>
      <c r="P537" t="n">
        <v>0</v>
      </c>
      <c r="Q537" t="n">
        <v>0</v>
      </c>
      <c r="R537" s="2" t="inlineStr"/>
    </row>
    <row r="538" ht="15" customHeight="1">
      <c r="A538" t="inlineStr">
        <is>
          <t>A 34410-2025</t>
        </is>
      </c>
      <c r="B538" s="1" t="n">
        <v>45846</v>
      </c>
      <c r="C538" s="1" t="n">
        <v>45875</v>
      </c>
      <c r="D538" t="inlineStr">
        <is>
          <t>VÄSTRA GÖTALANDS LÄN</t>
        </is>
      </c>
      <c r="E538" t="inlineStr">
        <is>
          <t>SKÖVDE</t>
        </is>
      </c>
      <c r="G538" t="n">
        <v>1.2</v>
      </c>
      <c r="H538" t="n">
        <v>0</v>
      </c>
      <c r="I538" t="n">
        <v>0</v>
      </c>
      <c r="J538" t="n">
        <v>0</v>
      </c>
      <c r="K538" t="n">
        <v>0</v>
      </c>
      <c r="L538" t="n">
        <v>0</v>
      </c>
      <c r="M538" t="n">
        <v>0</v>
      </c>
      <c r="N538" t="n">
        <v>0</v>
      </c>
      <c r="O538" t="n">
        <v>0</v>
      </c>
      <c r="P538" t="n">
        <v>0</v>
      </c>
      <c r="Q538" t="n">
        <v>0</v>
      </c>
      <c r="R538" s="2" t="inlineStr"/>
    </row>
    <row r="539" ht="15" customHeight="1">
      <c r="A539" t="inlineStr">
        <is>
          <t>A 34414-2025</t>
        </is>
      </c>
      <c r="B539" s="1" t="n">
        <v>45846</v>
      </c>
      <c r="C539" s="1" t="n">
        <v>45875</v>
      </c>
      <c r="D539" t="inlineStr">
        <is>
          <t>VÄSTRA GÖTALANDS LÄN</t>
        </is>
      </c>
      <c r="E539" t="inlineStr">
        <is>
          <t>SKÖVDE</t>
        </is>
      </c>
      <c r="G539" t="n">
        <v>1.6</v>
      </c>
      <c r="H539" t="n">
        <v>0</v>
      </c>
      <c r="I539" t="n">
        <v>0</v>
      </c>
      <c r="J539" t="n">
        <v>0</v>
      </c>
      <c r="K539" t="n">
        <v>0</v>
      </c>
      <c r="L539" t="n">
        <v>0</v>
      </c>
      <c r="M539" t="n">
        <v>0</v>
      </c>
      <c r="N539" t="n">
        <v>0</v>
      </c>
      <c r="O539" t="n">
        <v>0</v>
      </c>
      <c r="P539" t="n">
        <v>0</v>
      </c>
      <c r="Q539" t="n">
        <v>0</v>
      </c>
      <c r="R539" s="2" t="inlineStr"/>
    </row>
    <row r="540" ht="15" customHeight="1">
      <c r="A540" t="inlineStr">
        <is>
          <t>A 34592-2025</t>
        </is>
      </c>
      <c r="B540" s="1" t="n">
        <v>45847</v>
      </c>
      <c r="C540" s="1" t="n">
        <v>45875</v>
      </c>
      <c r="D540" t="inlineStr">
        <is>
          <t>VÄSTRA GÖTALANDS LÄN</t>
        </is>
      </c>
      <c r="E540" t="inlineStr">
        <is>
          <t>SKÖVDE</t>
        </is>
      </c>
      <c r="G540" t="n">
        <v>2</v>
      </c>
      <c r="H540" t="n">
        <v>0</v>
      </c>
      <c r="I540" t="n">
        <v>0</v>
      </c>
      <c r="J540" t="n">
        <v>0</v>
      </c>
      <c r="K540" t="n">
        <v>0</v>
      </c>
      <c r="L540" t="n">
        <v>0</v>
      </c>
      <c r="M540" t="n">
        <v>0</v>
      </c>
      <c r="N540" t="n">
        <v>0</v>
      </c>
      <c r="O540" t="n">
        <v>0</v>
      </c>
      <c r="P540" t="n">
        <v>0</v>
      </c>
      <c r="Q540" t="n">
        <v>0</v>
      </c>
      <c r="R540" s="2" t="inlineStr"/>
    </row>
    <row r="541">
      <c r="A541" t="inlineStr">
        <is>
          <t>A 35199-2025</t>
        </is>
      </c>
      <c r="B541" s="1" t="n">
        <v>45853</v>
      </c>
      <c r="C541" s="1" t="n">
        <v>45875</v>
      </c>
      <c r="D541" t="inlineStr">
        <is>
          <t>VÄSTRA GÖTALANDS LÄN</t>
        </is>
      </c>
      <c r="E541" t="inlineStr">
        <is>
          <t>SKÖVDE</t>
        </is>
      </c>
      <c r="G541" t="n">
        <v>1.5</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2025-08-06T20:02:12Z</dcterms:created>
  <dcterms:modified xmlns:dcterms="http://purl.org/dc/terms/" xmlns:xsi="http://www.w3.org/2001/XMLSchema-instance" xsi:type="dcterms:W3CDTF">2025-08-06T20:02:12Z</dcterms:modified>
</cp:coreProperties>
</file>