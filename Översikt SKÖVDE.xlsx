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46251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46251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46251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46251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46251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46251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46251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13517-2024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45387</v>
      </c>
      <c r="E13" s="1" t="n">
        <v>46251</v>
      </c>
      <c r="F13" t="inlineStr">
        <is>
          <t>VÄSTRA GÖTALANDS LÄN</t>
        </is>
      </c>
      <c r="G13" t="inlineStr">
        <is>
          <t>SKÖVDE</t>
        </is>
      </c>
      <c r="I13" t="n">
        <v>4.4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9</v>
      </c>
      <c r="U13" t="n">
        <v>9</v>
      </c>
      <c r="V13" s="2" t="inlineStr">
        <is>
          <t>Slåttergubbe
Jordtistel
Klasefibbla
Grönvit nattviol</t>
        </is>
      </c>
      <c r="W13">
        <f>HYPERLINK("https://klasma.github.io/Logging_1496/artfynd/A 13517-2024 artfynd.xlsx", "A 13517-2024")</f>
        <v/>
      </c>
      <c r="X13">
        <f>HYPERLINK("https://klasma.github.io/Logging_1496/kartor/A 13517-2024 karta.png", "A 13517-2024")</f>
        <v/>
      </c>
      <c r="Y13">
        <f>HYPERLINK("https://klasma.github.io/Logging_1496/kartor_geotiff/A 13517-2024 georefererad karta.tif", "A 13517-2024")</f>
        <v/>
      </c>
      <c r="AA13">
        <f>HYPERLINK("https://klasma.github.io/Logging_1496/klagomål/A 13517-2024 FSC-klagomål.docx", "A 13517-2024")</f>
        <v/>
      </c>
      <c r="AB13">
        <f>HYPERLINK("https://klasma.github.io/Logging_1496/klagomålsmail/A 13517-2024 FSC-klagomål mail.docx", "A 13517-2024")</f>
        <v/>
      </c>
      <c r="AC13">
        <f>HYPERLINK("https://klasma.github.io/Logging_1496/tillsyn/A 13517-2024 tillsynsbegäran.docx", "A 13517-2024")</f>
        <v/>
      </c>
      <c r="AD13">
        <f>HYPERLINK("https://klasma.github.io/Logging_1496/tillsynsmail/A 13517-2024 tillsynsbegäran mail.docx", "A 13517-2024")</f>
        <v/>
      </c>
    </row>
    <row r="14" ht="15" customHeight="1">
      <c r="A14" t="inlineStr">
        <is>
          <t>A 5177-2022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44594</v>
      </c>
      <c r="E14" s="1" t="n">
        <v>46251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0.5</v>
      </c>
      <c r="J14" t="n">
        <v>2</v>
      </c>
      <c r="K14" t="n">
        <v>1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8</v>
      </c>
      <c r="U14" t="n">
        <v>7</v>
      </c>
      <c r="V14" s="2" t="inlineStr">
        <is>
          <t>Stor bockrot
Skogsbräsma
Spillkråka
Lopplummer (aggregat)</t>
        </is>
      </c>
      <c r="W14">
        <f>HYPERLINK("https://klasma.github.io/Logging_1496/artfynd/A 5177-2022 artfynd.xlsx", "A 5177-2022")</f>
        <v/>
      </c>
      <c r="X14">
        <f>HYPERLINK("https://klasma.github.io/Logging_1496/kartor/A 5177-2022 karta.png", "A 5177-2022")</f>
        <v/>
      </c>
      <c r="Y14">
        <f>HYPERLINK("https://klasma.github.io/Logging_1496/kartor_geotiff/A 5177-2022 georefererad karta.tif", "A 5177-2022")</f>
        <v/>
      </c>
      <c r="AA14">
        <f>HYPERLINK("https://klasma.github.io/Logging_1496/klagomål/A 5177-2022 FSC-klagomål.docx", "A 5177-2022")</f>
        <v/>
      </c>
      <c r="AB14">
        <f>HYPERLINK("https://klasma.github.io/Logging_1496/klagomålsmail/A 5177-2022 FSC-klagomål mail.docx", "A 5177-2022")</f>
        <v/>
      </c>
      <c r="AC14">
        <f>HYPERLINK("https://klasma.github.io/Logging_1496/tillsyn/A 5177-2022 tillsynsbegäran.docx", "A 5177-2022")</f>
        <v/>
      </c>
      <c r="AD14">
        <f>HYPERLINK("https://klasma.github.io/Logging_1496/tillsynsmail/A 5177-2022 tillsynsbegäran mail.docx", "A 5177-2022")</f>
        <v/>
      </c>
      <c r="AE14">
        <f>HYPERLINK("https://klasma.github.io/Logging_1496/fåglar/A 5177-2022 prioriterade fågelarter.docx", "A 5177-2022")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46251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46251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57163-2025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46251</v>
      </c>
      <c r="F17" t="inlineStr">
        <is>
          <t>VÄSTRA GÖTALANDS LÄN</t>
        </is>
      </c>
      <c r="G17" t="inlineStr">
        <is>
          <t>SKÖVDE</t>
        </is>
      </c>
      <c r="I17" t="n">
        <v>2.8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Knärot
Dropptaggsvamp
Motaggsvamp
Orange taggsvamp</t>
        </is>
      </c>
      <c r="W17">
        <f>HYPERLINK("https://klasma.github.io/Logging_1496/artfynd/A 57163-2025 artfynd.xlsx", "A 57163-2025")</f>
        <v/>
      </c>
      <c r="X17">
        <f>HYPERLINK("https://klasma.github.io/Logging_1496/kartor/A 57163-2025 karta.png", "A 57163-2025")</f>
        <v/>
      </c>
      <c r="Y17">
        <f>HYPERLINK("https://klasma.github.io/Logging_1496/kartor_geotiff/A 57163-2025 georefererad karta.tif", "A 57163-2025")</f>
        <v/>
      </c>
      <c r="Z17">
        <f>HYPERLINK("https://klasma.github.io/Logging_1496/knärot/A 57163-2025 karta knärot.png", "A 57163-2025")</f>
        <v/>
      </c>
      <c r="AA17">
        <f>HYPERLINK("https://klasma.github.io/Logging_1496/klagomål/A 57163-2025 FSC-klagomål.docx", "A 57163-2025")</f>
        <v/>
      </c>
      <c r="AB17">
        <f>HYPERLINK("https://klasma.github.io/Logging_1496/klagomålsmail/A 57163-2025 FSC-klagomål mail.docx", "A 57163-2025")</f>
        <v/>
      </c>
      <c r="AC17">
        <f>HYPERLINK("https://klasma.github.io/Logging_1496/tillsyn/A 57163-2025 tillsynsbegäran.docx", "A 57163-2025")</f>
        <v/>
      </c>
      <c r="AD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46251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46251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46251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39092-2022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44817</v>
      </c>
      <c r="E21" s="1" t="n">
        <v>46251</v>
      </c>
      <c r="F21" t="inlineStr">
        <is>
          <t>VÄSTRA GÖTALANDS LÄN</t>
        </is>
      </c>
      <c r="G21" t="inlineStr">
        <is>
          <t>SKÖVDE</t>
        </is>
      </c>
      <c r="I21" t="n">
        <v>3.1</v>
      </c>
      <c r="J21" t="n">
        <v>0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Ask
Sårläka
Strutbräken</t>
        </is>
      </c>
      <c r="W21">
        <f>HYPERLINK("https://klasma.github.io/Logging_1496/artfynd/A 39092-2022 artfynd.xlsx", "A 39092-2022")</f>
        <v/>
      </c>
      <c r="X21">
        <f>HYPERLINK("https://klasma.github.io/Logging_1496/kartor/A 39092-2022 karta.png", "A 39092-2022")</f>
        <v/>
      </c>
      <c r="Y21">
        <f>HYPERLINK("https://klasma.github.io/Logging_1496/kartor_geotiff/A 39092-2022 georefererad karta.tif", "A 39092-2022")</f>
        <v/>
      </c>
      <c r="AA21">
        <f>HYPERLINK("https://klasma.github.io/Logging_1496/klagomål/A 39092-2022 FSC-klagomål.docx", "A 39092-2022")</f>
        <v/>
      </c>
      <c r="AB21">
        <f>HYPERLINK("https://klasma.github.io/Logging_1496/klagomålsmail/A 39092-2022 FSC-klagomål mail.docx", "A 39092-2022")</f>
        <v/>
      </c>
      <c r="AC21">
        <f>HYPERLINK("https://klasma.github.io/Logging_1496/tillsyn/A 39092-2022 tillsynsbegäran.docx", "A 39092-2022")</f>
        <v/>
      </c>
      <c r="AD21">
        <f>HYPERLINK("https://klasma.github.io/Logging_1496/tillsynsmail/A 39092-2022 tillsynsbegäran mail.docx", "A 39092-2022")</f>
        <v/>
      </c>
    </row>
    <row r="22" ht="15" customHeight="1">
      <c r="A22" t="inlineStr">
        <is>
          <t>A 100-2023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46251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1.4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Borsttåg
Ängsstarr
Purpurknipprot</t>
        </is>
      </c>
      <c r="W22">
        <f>HYPERLINK("https://klasma.github.io/Logging_1496/artfynd/A 100-2023 artfynd.xlsx", "A 100-2023")</f>
        <v/>
      </c>
      <c r="X22">
        <f>HYPERLINK("https://klasma.github.io/Logging_1496/kartor/A 100-2023 karta.png", "A 100-2023")</f>
        <v/>
      </c>
      <c r="Y22">
        <f>HYPERLINK("https://klasma.github.io/Logging_1496/kartor_geotiff/A 100-2023 georefererad karta.tif", "A 100-2023")</f>
        <v/>
      </c>
      <c r="AA22">
        <f>HYPERLINK("https://klasma.github.io/Logging_1496/klagomål/A 100-2023 FSC-klagomål.docx", "A 100-2023")</f>
        <v/>
      </c>
      <c r="AB22">
        <f>HYPERLINK("https://klasma.github.io/Logging_1496/klagomålsmail/A 100-2023 FSC-klagomål mail.docx", "A 100-2023")</f>
        <v/>
      </c>
      <c r="AC22">
        <f>HYPERLINK("https://klasma.github.io/Logging_1496/tillsyn/A 100-2023 tillsynsbegäran.docx", "A 100-2023")</f>
        <v/>
      </c>
      <c r="AD22">
        <f>HYPERLINK("https://klasma.github.io/Logging_1496/tillsynsmail/A 100-2023 tillsynsbegäran mail.docx", "A 100-2023")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46251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46251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2579-2023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46251</v>
      </c>
      <c r="F25" t="inlineStr">
        <is>
          <t>VÄSTRA GÖTALANDS LÄN</t>
        </is>
      </c>
      <c r="G25" t="inlineStr">
        <is>
          <t>SKÖVDE</t>
        </is>
      </c>
      <c r="I25" t="n">
        <v>5.3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Skogsknipprot
Svart trolldruva
Fläcknycklar</t>
        </is>
      </c>
      <c r="W25">
        <f>HYPERLINK("https://klasma.github.io/Logging_1496/artfynd/A 2579-2023 artfynd.xlsx", "A 2579-2023")</f>
        <v/>
      </c>
      <c r="X25">
        <f>HYPERLINK("https://klasma.github.io/Logging_1496/kartor/A 2579-2023 karta.png", "A 2579-2023")</f>
        <v/>
      </c>
      <c r="Y25">
        <f>HYPERLINK("https://klasma.github.io/Logging_1496/kartor_geotiff/A 2579-2023 georefererad karta.tif", "A 2579-2023")</f>
        <v/>
      </c>
      <c r="AA25">
        <f>HYPERLINK("https://klasma.github.io/Logging_1496/klagomål/A 2579-2023 FSC-klagomål.docx", "A 2579-2023")</f>
        <v/>
      </c>
      <c r="AB25">
        <f>HYPERLINK("https://klasma.github.io/Logging_1496/klagomålsmail/A 2579-2023 FSC-klagomål mail.docx", "A 2579-2023")</f>
        <v/>
      </c>
      <c r="AC25">
        <f>HYPERLINK("https://klasma.github.io/Logging_1496/tillsyn/A 2579-2023 tillsynsbegäran.docx", "A 2579-2023")</f>
        <v/>
      </c>
      <c r="AD25">
        <f>HYPERLINK("https://klasma.github.io/Logging_1496/tillsynsmail/A 2579-2023 tillsynsbegäran mail.docx", "A 2579-2023")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46251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46251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46251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46251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46251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60172-2021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46251</v>
      </c>
      <c r="F31" t="inlineStr">
        <is>
          <t>VÄSTRA GÖTALANDS LÄN</t>
        </is>
      </c>
      <c r="G31" t="inlineStr">
        <is>
          <t>SKÖVDE</t>
        </is>
      </c>
      <c r="I31" t="n">
        <v>1.4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Skogsbräsma
Fläcknycklar</t>
        </is>
      </c>
      <c r="W31">
        <f>HYPERLINK("https://klasma.github.io/Logging_1496/artfynd/A 60172-2021 artfynd.xlsx", "A 60172-2021")</f>
        <v/>
      </c>
      <c r="X31">
        <f>HYPERLINK("https://klasma.github.io/Logging_1496/kartor/A 60172-2021 karta.png", "A 60172-2021")</f>
        <v/>
      </c>
      <c r="Y31">
        <f>HYPERLINK("https://klasma.github.io/Logging_1496/kartor_geotiff/A 60172-2021 georefererad karta.tif", "A 60172-2021")</f>
        <v/>
      </c>
      <c r="AA31">
        <f>HYPERLINK("https://klasma.github.io/Logging_1496/klagomål/A 60172-2021 FSC-klagomål.docx", "A 60172-2021")</f>
        <v/>
      </c>
      <c r="AB31">
        <f>HYPERLINK("https://klasma.github.io/Logging_1496/klagomålsmail/A 60172-2021 FSC-klagomål mail.docx", "A 60172-2021")</f>
        <v/>
      </c>
      <c r="AC31">
        <f>HYPERLINK("https://klasma.github.io/Logging_1496/tillsyn/A 60172-2021 tillsynsbegäran.docx", "A 60172-2021")</f>
        <v/>
      </c>
      <c r="AD31">
        <f>HYPERLINK("https://klasma.github.io/Logging_1496/tillsynsmail/A 60172-2021 tillsynsbegäran mail.docx", "A 60172-2021")</f>
        <v/>
      </c>
    </row>
    <row r="32" ht="15" customHeight="1">
      <c r="A32" t="inlineStr">
        <is>
          <t>A 29222-2022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46251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1.6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Lundbräsma
Strutbräken</t>
        </is>
      </c>
      <c r="W32">
        <f>HYPERLINK("https://klasma.github.io/Logging_1496/artfynd/A 29222-2022 artfynd.xlsx", "A 29222-2022")</f>
        <v/>
      </c>
      <c r="X32">
        <f>HYPERLINK("https://klasma.github.io/Logging_1496/kartor/A 29222-2022 karta.png", "A 29222-2022")</f>
        <v/>
      </c>
      <c r="Y32">
        <f>HYPERLINK("https://klasma.github.io/Logging_1496/kartor_geotiff/A 29222-2022 georefererad karta.tif", "A 29222-2022")</f>
        <v/>
      </c>
      <c r="AA32">
        <f>HYPERLINK("https://klasma.github.io/Logging_1496/klagomål/A 29222-2022 FSC-klagomål.docx", "A 29222-2022")</f>
        <v/>
      </c>
      <c r="AB32">
        <f>HYPERLINK("https://klasma.github.io/Logging_1496/klagomålsmail/A 29222-2022 FSC-klagomål mail.docx", "A 29222-2022")</f>
        <v/>
      </c>
      <c r="AC32">
        <f>HYPERLINK("https://klasma.github.io/Logging_1496/tillsyn/A 29222-2022 tillsynsbegäran.docx", "A 29222-2022")</f>
        <v/>
      </c>
      <c r="AD32">
        <f>HYPERLINK("https://klasma.github.io/Logging_1496/tillsynsmail/A 29222-2022 tillsynsbegäran mail.docx", "A 29222-2022")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46251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58467-2024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45635</v>
      </c>
      <c r="E34" s="1" t="n">
        <v>46251</v>
      </c>
      <c r="F34" t="inlineStr">
        <is>
          <t>VÄSTRA GÖTALANDS LÄN</t>
        </is>
      </c>
      <c r="G34" t="inlineStr">
        <is>
          <t>SKÖVDE</t>
        </is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Sommarfibbla
Mattlummer</t>
        </is>
      </c>
      <c r="W34">
        <f>HYPERLINK("https://klasma.github.io/Logging_1496/artfynd/A 58467-2024 artfynd.xlsx", "A 58467-2024")</f>
        <v/>
      </c>
      <c r="X34">
        <f>HYPERLINK("https://klasma.github.io/Logging_1496/kartor/A 58467-2024 karta.png", "A 58467-2024")</f>
        <v/>
      </c>
      <c r="Y34">
        <f>HYPERLINK("https://klasma.github.io/Logging_1496/kartor_geotiff/A 58467-2024 georefererad karta.tif", "A 58467-2024")</f>
        <v/>
      </c>
      <c r="AA34">
        <f>HYPERLINK("https://klasma.github.io/Logging_1496/klagomål/A 58467-2024 FSC-klagomål.docx", "A 58467-2024")</f>
        <v/>
      </c>
      <c r="AB34">
        <f>HYPERLINK("https://klasma.github.io/Logging_1496/klagomålsmail/A 58467-2024 FSC-klagomål mail.docx", "A 58467-2024")</f>
        <v/>
      </c>
      <c r="AC34">
        <f>HYPERLINK("https://klasma.github.io/Logging_1496/tillsyn/A 58467-2024 tillsynsbegäran.docx", "A 58467-2024")</f>
        <v/>
      </c>
      <c r="AD34">
        <f>HYPERLINK("https://klasma.github.io/Logging_1496/tillsynsmail/A 58467-2024 tillsynsbegäran mail.docx", "A 58467-2024")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46251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46251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46251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46251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46251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46251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26907-2026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46185</v>
      </c>
      <c r="E41" s="1" t="n">
        <v>46251</v>
      </c>
      <c r="F41" t="inlineStr">
        <is>
          <t>VÄSTRA GÖTALANDS LÄN</t>
        </is>
      </c>
      <c r="G41" t="inlineStr">
        <is>
          <t>SKÖVDE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0</v>
      </c>
      <c r="V41" s="2" t="inlineStr">
        <is>
          <t>Ask
Skogsalm</t>
        </is>
      </c>
      <c r="W41">
        <f>HYPERLINK("https://klasma.github.io/Logging_1496/artfynd/A 26907-2026 artfynd.xlsx", "A 26907-2026")</f>
        <v/>
      </c>
      <c r="X41">
        <f>HYPERLINK("https://klasma.github.io/Logging_1496/kartor/A 26907-2026 karta.png", "A 26907-2026")</f>
        <v/>
      </c>
      <c r="Y41">
        <f>HYPERLINK("https://klasma.github.io/Logging_1496/kartor_geotiff/A 26907-2026 georefererad karta.tif", "A 26907-2026")</f>
        <v/>
      </c>
      <c r="AA41">
        <f>HYPERLINK("https://klasma.github.io/Logging_1496/klagomål/A 26907-2026 FSC-klagomål.docx", "A 26907-2026")</f>
        <v/>
      </c>
      <c r="AB41">
        <f>HYPERLINK("https://klasma.github.io/Logging_1496/klagomålsmail/A 26907-2026 FSC-klagomål mail.docx", "A 26907-2026")</f>
        <v/>
      </c>
      <c r="AC41">
        <f>HYPERLINK("https://klasma.github.io/Logging_1496/tillsyn/A 26907-2026 tillsynsbegäran.docx", "A 26907-2026")</f>
        <v/>
      </c>
      <c r="AD41">
        <f>HYPERLINK("https://klasma.github.io/Logging_1496/tillsynsmail/A 26907-2026 tillsynsbegäran mail.docx", "A 26907-2026")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46251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46251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52377-2023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45224</v>
      </c>
      <c r="E44" s="1" t="n">
        <v>46251</v>
      </c>
      <c r="F44" t="inlineStr">
        <is>
          <t>VÄSTRA GÖTALANDS LÄN</t>
        </is>
      </c>
      <c r="G44" t="inlineStr">
        <is>
          <t>SKÖVDE</t>
        </is>
      </c>
      <c r="I44" t="n">
        <v>0.7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Kransrams</t>
        </is>
      </c>
      <c r="W44">
        <f>HYPERLINK("https://klasma.github.io/Logging_1496/artfynd/A 52377-2023 artfynd.xlsx", "A 52377-2023")</f>
        <v/>
      </c>
      <c r="X44">
        <f>HYPERLINK("https://klasma.github.io/Logging_1496/kartor/A 52377-2023 karta.png", "A 52377-2023")</f>
        <v/>
      </c>
      <c r="Y44">
        <f>HYPERLINK("https://klasma.github.io/Logging_1496/kartor_geotiff/A 52377-2023 georefererad karta.tif", "A 52377-2023")</f>
        <v/>
      </c>
      <c r="AA44">
        <f>HYPERLINK("https://klasma.github.io/Logging_1496/klagomål/A 52377-2023 FSC-klagomål.docx", "A 52377-2023")</f>
        <v/>
      </c>
      <c r="AB44">
        <f>HYPERLINK("https://klasma.github.io/Logging_1496/klagomålsmail/A 52377-2023 FSC-klagomål mail.docx", "A 52377-2023")</f>
        <v/>
      </c>
      <c r="AC44">
        <f>HYPERLINK("https://klasma.github.io/Logging_1496/tillsyn/A 52377-2023 tillsynsbegäran.docx", "A 52377-2023")</f>
        <v/>
      </c>
      <c r="AD44">
        <f>HYPERLINK("https://klasma.github.io/Logging_1496/tillsynsmail/A 52377-2023 tillsynsbegäran mail.docx", "A 52377-2023")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46251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17452-2023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45036</v>
      </c>
      <c r="E46" s="1" t="n">
        <v>46251</v>
      </c>
      <c r="F46" t="inlineStr">
        <is>
          <t>VÄSTRA GÖTALANDS LÄN</t>
        </is>
      </c>
      <c r="G46" t="inlineStr">
        <is>
          <t>SKÖVDE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17452-2023 artfynd.xlsx", "A 17452-2023")</f>
        <v/>
      </c>
      <c r="X46">
        <f>HYPERLINK("https://klasma.github.io/Logging_1496/kartor/A 17452-2023 karta.png", "A 17452-2023")</f>
        <v/>
      </c>
      <c r="Y46">
        <f>HYPERLINK("https://klasma.github.io/Logging_1496/kartor_geotiff/A 17452-2023 georefererad karta.tif", "A 17452-2023")</f>
        <v/>
      </c>
      <c r="AA46">
        <f>HYPERLINK("https://klasma.github.io/Logging_1496/klagomål/A 17452-2023 FSC-klagomål.docx", "A 17452-2023")</f>
        <v/>
      </c>
      <c r="AB46">
        <f>HYPERLINK("https://klasma.github.io/Logging_1496/klagomålsmail/A 17452-2023 FSC-klagomål mail.docx", "A 17452-2023")</f>
        <v/>
      </c>
      <c r="AC46">
        <f>HYPERLINK("https://klasma.github.io/Logging_1496/tillsyn/A 17452-2023 tillsynsbegäran.docx", "A 17452-2023")</f>
        <v/>
      </c>
      <c r="AD46">
        <f>HYPERLINK("https://klasma.github.io/Logging_1496/tillsynsmail/A 17452-2023 tillsynsbegäran mail.docx", "A 17452-2023")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46251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18132-2023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46251</v>
      </c>
      <c r="F48" t="inlineStr">
        <is>
          <t>VÄSTRA GÖTALANDS LÄN</t>
        </is>
      </c>
      <c r="G48" t="inlineStr">
        <is>
          <t>SKÖVDE</t>
        </is>
      </c>
      <c r="I48" t="n">
        <v>0.9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Hässleklocka</t>
        </is>
      </c>
      <c r="W48">
        <f>HYPERLINK("https://klasma.github.io/Logging_1496/artfynd/A 18132-2023 artfynd.xlsx", "A 18132-2023")</f>
        <v/>
      </c>
      <c r="X48">
        <f>HYPERLINK("https://klasma.github.io/Logging_1496/kartor/A 18132-2023 karta.png", "A 18132-2023")</f>
        <v/>
      </c>
      <c r="Y48">
        <f>HYPERLINK("https://klasma.github.io/Logging_1496/kartor_geotiff/A 18132-2023 georefererad karta.tif", "A 18132-2023")</f>
        <v/>
      </c>
      <c r="AA48">
        <f>HYPERLINK("https://klasma.github.io/Logging_1496/klagomål/A 18132-2023 FSC-klagomål.docx", "A 18132-2023")</f>
        <v/>
      </c>
      <c r="AB48">
        <f>HYPERLINK("https://klasma.github.io/Logging_1496/klagomålsmail/A 18132-2023 FSC-klagomål mail.docx", "A 18132-2023")</f>
        <v/>
      </c>
      <c r="AC48">
        <f>HYPERLINK("https://klasma.github.io/Logging_1496/tillsyn/A 18132-2023 tillsynsbegäran.docx", "A 18132-2023")</f>
        <v/>
      </c>
      <c r="AD48">
        <f>HYPERLINK("https://klasma.github.io/Logging_1496/tillsynsmail/A 18132-2023 tillsynsbegäran mail.docx", "A 18132-2023")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46251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35919-2023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45148</v>
      </c>
      <c r="E50" s="1" t="n">
        <v>46251</v>
      </c>
      <c r="F50" t="inlineStr">
        <is>
          <t>VÄSTRA GÖTALANDS LÄN</t>
        </is>
      </c>
      <c r="G50" t="inlineStr">
        <is>
          <t>SKÖVDE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Svinrot</t>
        </is>
      </c>
      <c r="W50">
        <f>HYPERLINK("https://klasma.github.io/Logging_1496/artfynd/A 35919-2023 artfynd.xlsx", "A 35919-2023")</f>
        <v/>
      </c>
      <c r="X50">
        <f>HYPERLINK("https://klasma.github.io/Logging_1496/kartor/A 35919-2023 karta.png", "A 35919-2023")</f>
        <v/>
      </c>
      <c r="Y50">
        <f>HYPERLINK("https://klasma.github.io/Logging_1496/kartor_geotiff/A 35919-2023 georefererad karta.tif", "A 35919-2023")</f>
        <v/>
      </c>
      <c r="AA50">
        <f>HYPERLINK("https://klasma.github.io/Logging_1496/klagomål/A 35919-2023 FSC-klagomål.docx", "A 35919-2023")</f>
        <v/>
      </c>
      <c r="AB50">
        <f>HYPERLINK("https://klasma.github.io/Logging_1496/klagomålsmail/A 35919-2023 FSC-klagomål mail.docx", "A 35919-2023")</f>
        <v/>
      </c>
      <c r="AC50">
        <f>HYPERLINK("https://klasma.github.io/Logging_1496/tillsyn/A 35919-2023 tillsynsbegäran.docx", "A 35919-2023")</f>
        <v/>
      </c>
      <c r="AD50">
        <f>HYPERLINK("https://klasma.github.io/Logging_1496/tillsynsmail/A 35919-2023 tillsynsbegäran mail.docx", "A 35919-2023")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46251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17070-2025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46251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0.9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Korallrot</t>
        </is>
      </c>
      <c r="W52">
        <f>HYPERLINK("https://klasma.github.io/Logging_1496/artfynd/A 17070-2025 artfynd.xlsx", "A 17070-2025")</f>
        <v/>
      </c>
      <c r="X52">
        <f>HYPERLINK("https://klasma.github.io/Logging_1496/kartor/A 17070-2025 karta.png", "A 17070-2025")</f>
        <v/>
      </c>
      <c r="Y52">
        <f>HYPERLINK("https://klasma.github.io/Logging_1496/kartor_geotiff/A 17070-2025 georefererad karta.tif", "A 17070-2025")</f>
        <v/>
      </c>
      <c r="AA52">
        <f>HYPERLINK("https://klasma.github.io/Logging_1496/klagomål/A 17070-2025 FSC-klagomål.docx", "A 17070-2025")</f>
        <v/>
      </c>
      <c r="AB52">
        <f>HYPERLINK("https://klasma.github.io/Logging_1496/klagomålsmail/A 17070-2025 FSC-klagomål mail.docx", "A 17070-2025")</f>
        <v/>
      </c>
      <c r="AC52">
        <f>HYPERLINK("https://klasma.github.io/Logging_1496/tillsyn/A 17070-2025 tillsynsbegäran.docx", "A 17070-2025")</f>
        <v/>
      </c>
      <c r="AD52">
        <f>HYPERLINK("https://klasma.github.io/Logging_1496/tillsynsmail/A 17070-2025 tillsynsbegäran mail.docx", "A 17070-2025")</f>
        <v/>
      </c>
    </row>
    <row r="53" ht="15" customHeight="1">
      <c r="A53" t="inlineStr">
        <is>
          <t>A 3951-2024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46251</v>
      </c>
      <c r="F53" t="inlineStr">
        <is>
          <t>VÄSTRA GÖTALANDS LÄN</t>
        </is>
      </c>
      <c r="G53" t="inlineStr">
        <is>
          <t>SKÖVDE</t>
        </is>
      </c>
      <c r="I53" t="n">
        <v>10.7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HYPERLINK("https://klasma.github.io/Logging_1496/artfynd/A 3951-2024 artfynd.xlsx", "A 3951-2024")</f>
        <v/>
      </c>
      <c r="X53">
        <f>HYPERLINK("https://klasma.github.io/Logging_1496/kartor/A 3951-2024 karta.png", "A 3951-2024")</f>
        <v/>
      </c>
      <c r="Y53">
        <f>HYPERLINK("https://klasma.github.io/Logging_1496/kartor_geotiff/A 3951-2024 georefererad karta.tif", "A 3951-2024")</f>
        <v/>
      </c>
      <c r="AA53">
        <f>HYPERLINK("https://klasma.github.io/Logging_1496/klagomål/A 3951-2024 FSC-klagomål.docx", "A 3951-2024")</f>
        <v/>
      </c>
      <c r="AB53">
        <f>HYPERLINK("https://klasma.github.io/Logging_1496/klagomålsmail/A 3951-2024 FSC-klagomål mail.docx", "A 3951-2024")</f>
        <v/>
      </c>
      <c r="AC53">
        <f>HYPERLINK("https://klasma.github.io/Logging_1496/tillsyn/A 3951-2024 tillsynsbegäran.docx", "A 3951-2024")</f>
        <v/>
      </c>
      <c r="AD53">
        <f>HYPERLINK("https://klasma.github.io/Logging_1496/tillsynsmail/A 3951-2024 tillsynsbegäran mail.docx", "A 3951-2024")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46251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29011-2023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46251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5.4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29011-2023 artfynd.xlsx", "A 29011-2023")</f>
        <v/>
      </c>
      <c r="X55">
        <f>HYPERLINK("https://klasma.github.io/Logging_1496/kartor/A 29011-2023 karta.png", "A 29011-2023")</f>
        <v/>
      </c>
      <c r="Y55">
        <f>HYPERLINK("https://klasma.github.io/Logging_1496/kartor_geotiff/A 29011-2023 georefererad karta.tif", "A 29011-2023")</f>
        <v/>
      </c>
      <c r="AA55">
        <f>HYPERLINK("https://klasma.github.io/Logging_1496/klagomål/A 29011-2023 FSC-klagomål.docx", "A 29011-2023")</f>
        <v/>
      </c>
      <c r="AB55">
        <f>HYPERLINK("https://klasma.github.io/Logging_1496/klagomålsmail/A 29011-2023 FSC-klagomål mail.docx", "A 29011-2023")</f>
        <v/>
      </c>
      <c r="AC55">
        <f>HYPERLINK("https://klasma.github.io/Logging_1496/tillsyn/A 29011-2023 tillsynsbegäran.docx", "A 29011-2023")</f>
        <v/>
      </c>
      <c r="AD55">
        <f>HYPERLINK("https://klasma.github.io/Logging_1496/tillsynsmail/A 29011-2023 tillsynsbegäran mail.docx", "A 29011-2023")</f>
        <v/>
      </c>
    </row>
    <row r="56" ht="15" customHeight="1">
      <c r="A56" t="inlineStr">
        <is>
          <t>A 28717-2026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46251</v>
      </c>
      <c r="F56" t="inlineStr">
        <is>
          <t>VÄSTRA GÖTALANDS LÄN</t>
        </is>
      </c>
      <c r="G56" t="inlineStr">
        <is>
          <t>SKÖVDE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HYPERLINK("https://klasma.github.io/Logging_1496/artfynd/A 28717-2026 artfynd.xlsx", "A 28717-2026")</f>
        <v/>
      </c>
      <c r="X56">
        <f>HYPERLINK("https://klasma.github.io/Logging_1496/kartor/A 28717-2026 karta.png", "A 28717-2026")</f>
        <v/>
      </c>
      <c r="Y56">
        <f>HYPERLINK("https://klasma.github.io/Logging_1496/kartor_geotiff/A 28717-2026 georefererad karta.tif", "A 28717-2026")</f>
        <v/>
      </c>
      <c r="AA56">
        <f>HYPERLINK("https://klasma.github.io/Logging_1496/klagomål/A 28717-2026 FSC-klagomål.docx", "A 28717-2026")</f>
        <v/>
      </c>
      <c r="AB56">
        <f>HYPERLINK("https://klasma.github.io/Logging_1496/klagomålsmail/A 28717-2026 FSC-klagomål mail.docx", "A 28717-2026")</f>
        <v/>
      </c>
      <c r="AC56">
        <f>HYPERLINK("https://klasma.github.io/Logging_1496/tillsyn/A 28717-2026 tillsynsbegäran.docx", "A 28717-2026")</f>
        <v/>
      </c>
      <c r="AD56">
        <f>HYPERLINK("https://klasma.github.io/Logging_1496/tillsynsmail/A 28717-2026 tillsynsbegäran mail.docx", "A 28717-2026")</f>
        <v/>
      </c>
    </row>
    <row r="57" ht="15" customHeight="1">
      <c r="A57" t="inlineStr">
        <is>
          <t>A 15417-2023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46251</v>
      </c>
      <c r="F57" t="inlineStr">
        <is>
          <t>VÄSTRA GÖTALANDS LÄN</t>
        </is>
      </c>
      <c r="G57" t="inlineStr">
        <is>
          <t>SKÖVDE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Gullpudra</t>
        </is>
      </c>
      <c r="W57">
        <f>HYPERLINK("https://klasma.github.io/Logging_1496/artfynd/A 15417-2023 artfynd.xlsx", "A 15417-2023")</f>
        <v/>
      </c>
      <c r="X57">
        <f>HYPERLINK("https://klasma.github.io/Logging_1496/kartor/A 15417-2023 karta.png", "A 15417-2023")</f>
        <v/>
      </c>
      <c r="Y57">
        <f>HYPERLINK("https://klasma.github.io/Logging_1496/kartor_geotiff/A 15417-2023 georefererad karta.tif", "A 15417-2023")</f>
        <v/>
      </c>
      <c r="AA57">
        <f>HYPERLINK("https://klasma.github.io/Logging_1496/klagomål/A 15417-2023 FSC-klagomål.docx", "A 15417-2023")</f>
        <v/>
      </c>
      <c r="AB57">
        <f>HYPERLINK("https://klasma.github.io/Logging_1496/klagomålsmail/A 15417-2023 FSC-klagomål mail.docx", "A 15417-2023")</f>
        <v/>
      </c>
      <c r="AC57">
        <f>HYPERLINK("https://klasma.github.io/Logging_1496/tillsyn/A 15417-2023 tillsynsbegäran.docx", "A 15417-2023")</f>
        <v/>
      </c>
      <c r="AD57">
        <f>HYPERLINK("https://klasma.github.io/Logging_1496/tillsynsmail/A 15417-2023 tillsynsbegäran mail.docx", "A 15417-2023")</f>
        <v/>
      </c>
    </row>
    <row r="58" ht="15" customHeight="1">
      <c r="A58" t="inlineStr">
        <is>
          <t>A 3948-2024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46251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3948-2024 artfynd.xlsx", "A 3948-2024")</f>
        <v/>
      </c>
      <c r="X58">
        <f>HYPERLINK("https://klasma.github.io/Logging_1496/kartor/A 3948-2024 karta.png", "A 3948-2024")</f>
        <v/>
      </c>
      <c r="Y58">
        <f>HYPERLINK("https://klasma.github.io/Logging_1496/kartor_geotiff/A 3948-2024 georefererad karta.tif", "A 3948-2024")</f>
        <v/>
      </c>
      <c r="AA58">
        <f>HYPERLINK("https://klasma.github.io/Logging_1496/klagomål/A 3948-2024 FSC-klagomål.docx", "A 3948-2024")</f>
        <v/>
      </c>
      <c r="AB58">
        <f>HYPERLINK("https://klasma.github.io/Logging_1496/klagomålsmail/A 3948-2024 FSC-klagomål mail.docx", "A 3948-2024")</f>
        <v/>
      </c>
      <c r="AC58">
        <f>HYPERLINK("https://klasma.github.io/Logging_1496/tillsyn/A 3948-2024 tillsynsbegäran.docx", "A 3948-2024")</f>
        <v/>
      </c>
      <c r="AD58">
        <f>HYPERLINK("https://klasma.github.io/Logging_1496/tillsynsmail/A 3948-2024 tillsynsbegäran mail.docx", "A 3948-2024")</f>
        <v/>
      </c>
    </row>
    <row r="59" ht="15" customHeight="1">
      <c r="A59" t="inlineStr">
        <is>
          <t>A 10602-2023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46251</v>
      </c>
      <c r="F59" t="inlineStr">
        <is>
          <t>VÄSTRA GÖTALANDS LÄN</t>
        </is>
      </c>
      <c r="G59" t="inlineStr">
        <is>
          <t>SKÖVDE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10602-2023 artfynd.xlsx", "A 10602-2023")</f>
        <v/>
      </c>
      <c r="X59">
        <f>HYPERLINK("https://klasma.github.io/Logging_1496/kartor/A 10602-2023 karta.png", "A 10602-2023")</f>
        <v/>
      </c>
      <c r="Y59">
        <f>HYPERLINK("https://klasma.github.io/Logging_1496/kartor_geotiff/A 10602-2023 georefererad karta.tif", "A 10602-2023")</f>
        <v/>
      </c>
      <c r="AA59">
        <f>HYPERLINK("https://klasma.github.io/Logging_1496/klagomål/A 10602-2023 FSC-klagomål.docx", "A 10602-2023")</f>
        <v/>
      </c>
      <c r="AB59">
        <f>HYPERLINK("https://klasma.github.io/Logging_1496/klagomålsmail/A 10602-2023 FSC-klagomål mail.docx", "A 10602-2023")</f>
        <v/>
      </c>
      <c r="AC59">
        <f>HYPERLINK("https://klasma.github.io/Logging_1496/tillsyn/A 10602-2023 tillsynsbegäran.docx", "A 10602-2023")</f>
        <v/>
      </c>
      <c r="AD59">
        <f>HYPERLINK("https://klasma.github.io/Logging_1496/tillsynsmail/A 10602-2023 tillsynsbegäran mail.docx", "A 10602-2023")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46251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46251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A 47898-2023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45204</v>
      </c>
      <c r="E62" s="1" t="n">
        <v>46251</v>
      </c>
      <c r="F62" t="inlineStr">
        <is>
          <t>VÄSTRA GÖTALANDS LÄN</t>
        </is>
      </c>
      <c r="G62" t="inlineStr">
        <is>
          <t>SKÖVDE</t>
        </is>
      </c>
      <c r="I62" t="n">
        <v>9.5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Karminticka</t>
        </is>
      </c>
      <c r="W62">
        <f>HYPERLINK("https://klasma.github.io/Logging_1496/artfynd/A 47898-2023 artfynd.xlsx", "A 47898-2023")</f>
        <v/>
      </c>
      <c r="X62">
        <f>HYPERLINK("https://klasma.github.io/Logging_1496/kartor/A 47898-2023 karta.png", "A 47898-2023")</f>
        <v/>
      </c>
      <c r="Y62">
        <f>HYPERLINK("https://klasma.github.io/Logging_1496/kartor_geotiff/A 47898-2023 georefererad karta.tif", "A 47898-2023")</f>
        <v/>
      </c>
      <c r="AA62">
        <f>HYPERLINK("https://klasma.github.io/Logging_1496/klagomål/A 47898-2023 FSC-klagomål.docx", "A 47898-2023")</f>
        <v/>
      </c>
      <c r="AB62">
        <f>HYPERLINK("https://klasma.github.io/Logging_1496/klagomålsmail/A 47898-2023 FSC-klagomål mail.docx", "A 47898-2023")</f>
        <v/>
      </c>
      <c r="AC62">
        <f>HYPERLINK("https://klasma.github.io/Logging_1496/tillsyn/A 47898-2023 tillsynsbegäran.docx", "A 47898-2023")</f>
        <v/>
      </c>
      <c r="AD62">
        <f>HYPERLINK("https://klasma.github.io/Logging_1496/tillsynsmail/A 47898-2023 tillsynsbegäran mail.docx", "A 47898-2023")</f>
        <v/>
      </c>
    </row>
    <row r="63" ht="15" customHeight="1">
      <c r="A63" t="inlineStr">
        <is>
          <t>A 26800-2026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46251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Tibast</t>
        </is>
      </c>
      <c r="W63">
        <f>HYPERLINK("https://klasma.github.io/Logging_1496/artfynd/A 26800-2026 artfynd.xlsx", "A 26800-2026")</f>
        <v/>
      </c>
      <c r="X63">
        <f>HYPERLINK("https://klasma.github.io/Logging_1496/kartor/A 26800-2026 karta.png", "A 26800-2026")</f>
        <v/>
      </c>
      <c r="Y63">
        <f>HYPERLINK("https://klasma.github.io/Logging_1496/kartor_geotiff/A 26800-2026 georefererad karta.tif", "A 26800-2026")</f>
        <v/>
      </c>
      <c r="AA63">
        <f>HYPERLINK("https://klasma.github.io/Logging_1496/klagomål/A 26800-2026 FSC-klagomål.docx", "A 26800-2026")</f>
        <v/>
      </c>
      <c r="AB63">
        <f>HYPERLINK("https://klasma.github.io/Logging_1496/klagomålsmail/A 26800-2026 FSC-klagomål mail.docx", "A 26800-2026")</f>
        <v/>
      </c>
      <c r="AC63">
        <f>HYPERLINK("https://klasma.github.io/Logging_1496/tillsyn/A 26800-2026 tillsynsbegäran.docx", "A 26800-2026")</f>
        <v/>
      </c>
      <c r="AD63">
        <f>HYPERLINK("https://klasma.github.io/Logging_1496/tillsynsmail/A 26800-2026 tillsynsbegäran mail.docx", "A 26800-2026")</f>
        <v/>
      </c>
    </row>
    <row r="64" ht="15" customHeight="1">
      <c r="A64" t="inlineStr">
        <is>
          <t>S 809-2023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44986</v>
      </c>
      <c r="E64" s="1" t="n">
        <v>46251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Kyrkan</t>
        </is>
      </c>
      <c r="I64" t="n">
        <v>40.9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1</v>
      </c>
      <c r="V64" s="2" t="inlineStr">
        <is>
          <t>Motaggsvamp</t>
        </is>
      </c>
      <c r="W64">
        <f>HYPERLINK("https://klasma.github.io/Logging_1496/artfynd/S 809-2023 artfynd.xlsx", "S 809-2023")</f>
        <v/>
      </c>
      <c r="X64">
        <f>HYPERLINK("https://klasma.github.io/Logging_1496/kartor/S 809-2023 karta.png", "S 809-2023")</f>
        <v/>
      </c>
      <c r="Y64">
        <f>HYPERLINK("https://klasma.github.io/Logging_1496/kartor_geotiff/S 809-2023 georefererad karta.tif", "S 809-2023")</f>
        <v/>
      </c>
      <c r="AA64">
        <f>HYPERLINK("https://klasma.github.io/Logging_1496/klagomål/S 809-2023 FSC-klagomål.docx", "S 809-2023")</f>
        <v/>
      </c>
      <c r="AB64">
        <f>HYPERLINK("https://klasma.github.io/Logging_1496/klagomålsmail/S 809-2023 FSC-klagomål mail.docx", "S 809-2023")</f>
        <v/>
      </c>
      <c r="AC64">
        <f>HYPERLINK("https://klasma.github.io/Logging_1496/tillsyn/S 809-2023 tillsynsbegäran.docx", "S 809-2023")</f>
        <v/>
      </c>
      <c r="AD64">
        <f>HYPERLINK("https://klasma.github.io/Logging_1496/tillsynsmail/S 809-2023 tillsynsbegäran mail.docx", "S 809-2023")</f>
        <v/>
      </c>
    </row>
    <row r="65" ht="15" customHeight="1">
      <c r="A65" t="inlineStr">
        <is>
          <t>A 46086-2021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46251</v>
      </c>
      <c r="F65" t="inlineStr">
        <is>
          <t>VÄSTRA GÖTALANDS LÄN</t>
        </is>
      </c>
      <c r="G65" t="inlineStr">
        <is>
          <t>SKÖVDE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46251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44609</v>
      </c>
      <c r="E67" s="1" t="n">
        <v>46251</v>
      </c>
      <c r="F67" t="inlineStr">
        <is>
          <t>VÄSTRA GÖTALANDS LÄN</t>
        </is>
      </c>
      <c r="G67" t="inlineStr">
        <is>
          <t>SKÖVDE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44543</v>
      </c>
      <c r="E68" s="1" t="n">
        <v>46251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Naturvårdsverket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65804-2021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46251</v>
      </c>
      <c r="F69" t="inlineStr">
        <is>
          <t>VÄSTRA GÖTALANDS LÄN</t>
        </is>
      </c>
      <c r="G69" t="inlineStr">
        <is>
          <t>SKÖVDE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45379-2022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44844</v>
      </c>
      <c r="E70" s="1" t="n">
        <v>46251</v>
      </c>
      <c r="F70" t="inlineStr">
        <is>
          <t>VÄSTRA GÖTALANDS LÄN</t>
        </is>
      </c>
      <c r="G70" t="inlineStr">
        <is>
          <t>SKÖVDE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44567</v>
      </c>
      <c r="E71" s="1" t="n">
        <v>46251</v>
      </c>
      <c r="F71" t="inlineStr">
        <is>
          <t>VÄSTRA GÖTALANDS LÄN</t>
        </is>
      </c>
      <c r="G71" t="inlineStr">
        <is>
          <t>SKÖVDE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46251</v>
      </c>
      <c r="F72" t="inlineStr">
        <is>
          <t>VÄSTRA GÖTALANDS LÄN</t>
        </is>
      </c>
      <c r="G72" t="inlineStr">
        <is>
          <t>SKÖVDE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46251</v>
      </c>
      <c r="F73" t="inlineStr">
        <is>
          <t>VÄSTRA GÖTALANDS LÄN</t>
        </is>
      </c>
      <c r="G73" t="inlineStr">
        <is>
          <t>SKÖVDE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46251</v>
      </c>
      <c r="F74" t="inlineStr">
        <is>
          <t>VÄSTRA GÖTALANDS LÄN</t>
        </is>
      </c>
      <c r="G74" t="inlineStr">
        <is>
          <t>SKÖVDE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46251</v>
      </c>
      <c r="F75" t="inlineStr">
        <is>
          <t>VÄSTRA GÖTALANDS LÄN</t>
        </is>
      </c>
      <c r="G75" t="inlineStr">
        <is>
          <t>SKÖVDE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46251</v>
      </c>
      <c r="F76" t="inlineStr">
        <is>
          <t>VÄSTRA GÖTALANDS LÄN</t>
        </is>
      </c>
      <c r="G76" t="inlineStr">
        <is>
          <t>SKÖVDE</t>
        </is>
      </c>
      <c r="H76" t="inlineStr">
        <is>
          <t>Kyrkan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46251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44740</v>
      </c>
      <c r="E78" s="1" t="n">
        <v>46251</v>
      </c>
      <c r="F78" t="inlineStr">
        <is>
          <t>VÄSTRA GÖTALANDS LÄN</t>
        </is>
      </c>
      <c r="G78" t="inlineStr">
        <is>
          <t>SKÖVDE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69119-2021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44530</v>
      </c>
      <c r="E79" s="1" t="n">
        <v>46251</v>
      </c>
      <c r="F79" t="inlineStr">
        <is>
          <t>VÄSTRA GÖTALANDS LÄN</t>
        </is>
      </c>
      <c r="G79" t="inlineStr">
        <is>
          <t>SKÖVDE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46251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12942-2024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46251</v>
      </c>
      <c r="F81" t="inlineStr">
        <is>
          <t>VÄSTRA GÖTALANDS LÄN</t>
        </is>
      </c>
      <c r="G81" t="inlineStr">
        <is>
          <t>SKÖVDE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46251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11885-2022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44635</v>
      </c>
      <c r="E83" s="1" t="n">
        <v>46251</v>
      </c>
      <c r="F83" t="inlineStr">
        <is>
          <t>VÄSTRA GÖTALANDS LÄN</t>
        </is>
      </c>
      <c r="G83" t="inlineStr">
        <is>
          <t>SKÖVDE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46251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45299</v>
      </c>
      <c r="E85" s="1" t="n">
        <v>46251</v>
      </c>
      <c r="F85" t="inlineStr">
        <is>
          <t>VÄSTRA GÖTALANDS LÄN</t>
        </is>
      </c>
      <c r="G85" t="inlineStr">
        <is>
          <t>SKÖVDE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46251</v>
      </c>
      <c r="F86" t="inlineStr">
        <is>
          <t>VÄSTRA GÖTALANDS LÄN</t>
        </is>
      </c>
      <c r="G86" t="inlineStr">
        <is>
          <t>SKÖVDE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45301</v>
      </c>
      <c r="E87" s="1" t="n">
        <v>46251</v>
      </c>
      <c r="F87" t="inlineStr">
        <is>
          <t>VÄSTRA GÖTALANDS LÄN</t>
        </is>
      </c>
      <c r="G87" t="inlineStr">
        <is>
          <t>SKÖVDE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45245</v>
      </c>
      <c r="E88" s="1" t="n">
        <v>46251</v>
      </c>
      <c r="F88" t="inlineStr">
        <is>
          <t>VÄSTRA GÖTALANDS LÄN</t>
        </is>
      </c>
      <c r="G88" t="inlineStr">
        <is>
          <t>SKÖVDE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44823</v>
      </c>
      <c r="E89" s="1" t="n">
        <v>46251</v>
      </c>
      <c r="F89" t="inlineStr">
        <is>
          <t>VÄSTRA GÖTALANDS LÄN</t>
        </is>
      </c>
      <c r="G89" t="inlineStr">
        <is>
          <t>SKÖVDE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44629</v>
      </c>
      <c r="E90" s="1" t="n">
        <v>46251</v>
      </c>
      <c r="F90" t="inlineStr">
        <is>
          <t>VÄSTRA GÖTALANDS LÄN</t>
        </is>
      </c>
      <c r="G90" t="inlineStr">
        <is>
          <t>SKÖVDE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46251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46251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46251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46251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44762</v>
      </c>
      <c r="E95" s="1" t="n">
        <v>46251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46251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45314</v>
      </c>
      <c r="E97" s="1" t="n">
        <v>46251</v>
      </c>
      <c r="F97" t="inlineStr">
        <is>
          <t>VÄSTRA GÖTALANDS LÄN</t>
        </is>
      </c>
      <c r="G97" t="inlineStr">
        <is>
          <t>SKÖVDE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46251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44811</v>
      </c>
      <c r="E99" s="1" t="n">
        <v>46251</v>
      </c>
      <c r="F99" t="inlineStr">
        <is>
          <t>VÄSTRA GÖTALANDS LÄN</t>
        </is>
      </c>
      <c r="G99" t="inlineStr">
        <is>
          <t>SKÖVDE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46251</v>
      </c>
      <c r="F100" t="inlineStr">
        <is>
          <t>VÄSTRA GÖTALANDS LÄN</t>
        </is>
      </c>
      <c r="G100" t="inlineStr">
        <is>
          <t>SKÖVDE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46251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Kyrkan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45853</v>
      </c>
      <c r="E102" s="1" t="n">
        <v>46251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46251</v>
      </c>
      <c r="F103" t="inlineStr">
        <is>
          <t>VÄSTRA GÖTALANDS LÄN</t>
        </is>
      </c>
      <c r="G103" t="inlineStr">
        <is>
          <t>SKÖVDE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46251</v>
      </c>
      <c r="F104" t="inlineStr">
        <is>
          <t>VÄSTRA GÖTALANDS LÄN</t>
        </is>
      </c>
      <c r="G104" t="inlineStr">
        <is>
          <t>SKÖVDE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46251</v>
      </c>
      <c r="F105" t="inlineStr">
        <is>
          <t>VÄSTRA GÖTALANDS LÄN</t>
        </is>
      </c>
      <c r="G105" t="inlineStr">
        <is>
          <t>SKÖVDE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37656-2023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46251</v>
      </c>
      <c r="F106" t="inlineStr">
        <is>
          <t>VÄSTRA GÖTALANDS LÄN</t>
        </is>
      </c>
      <c r="G106" t="inlineStr">
        <is>
          <t>SKÖVDE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46251</v>
      </c>
      <c r="F107" t="inlineStr">
        <is>
          <t>VÄSTRA GÖTALANDS LÄN</t>
        </is>
      </c>
      <c r="G107" t="inlineStr">
        <is>
          <t>SKÖVDE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46251</v>
      </c>
      <c r="F108" t="inlineStr">
        <is>
          <t>VÄSTRA GÖTALANDS LÄN</t>
        </is>
      </c>
      <c r="G108" t="inlineStr">
        <is>
          <t>SKÖVDE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8557-2025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45709</v>
      </c>
      <c r="E109" s="1" t="n">
        <v>46251</v>
      </c>
      <c r="F109" t="inlineStr">
        <is>
          <t>VÄSTRA GÖTALANDS LÄN</t>
        </is>
      </c>
      <c r="G109" t="inlineStr">
        <is>
          <t>SKÖVDE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46251</v>
      </c>
      <c r="F110" t="inlineStr">
        <is>
          <t>VÄSTRA GÖTALANDS LÄN</t>
        </is>
      </c>
      <c r="G110" t="inlineStr">
        <is>
          <t>SKÖVDE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45531</v>
      </c>
      <c r="E111" s="1" t="n">
        <v>46251</v>
      </c>
      <c r="F111" t="inlineStr">
        <is>
          <t>VÄSTRA GÖTALANDS LÄN</t>
        </is>
      </c>
      <c r="G111" t="inlineStr">
        <is>
          <t>SKÖVDE</t>
        </is>
      </c>
      <c r="I111" t="n">
        <v>11.7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45322</v>
      </c>
      <c r="E112" s="1" t="n">
        <v>46251</v>
      </c>
      <c r="F112" t="inlineStr">
        <is>
          <t>VÄSTRA GÖTALANDS LÄN</t>
        </is>
      </c>
      <c r="G112" t="inlineStr">
        <is>
          <t>SKÖVDE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46251</v>
      </c>
      <c r="F113" t="inlineStr">
        <is>
          <t>VÄSTRA GÖTALANDS LÄN</t>
        </is>
      </c>
      <c r="G113" t="inlineStr">
        <is>
          <t>SKÖVDE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44862</v>
      </c>
      <c r="E114" s="1" t="n">
        <v>46251</v>
      </c>
      <c r="F114" t="inlineStr">
        <is>
          <t>VÄSTRA GÖTALANDS LÄN</t>
        </is>
      </c>
      <c r="G114" t="inlineStr">
        <is>
          <t>SKÖVDE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45721</v>
      </c>
      <c r="E115" s="1" t="n">
        <v>46251</v>
      </c>
      <c r="F115" t="inlineStr">
        <is>
          <t>VÄSTRA GÖTALANDS LÄN</t>
        </is>
      </c>
      <c r="G115" t="inlineStr">
        <is>
          <t>SKÖVDE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46251</v>
      </c>
      <c r="F116" t="inlineStr">
        <is>
          <t>VÄSTRA GÖTALANDS LÄN</t>
        </is>
      </c>
      <c r="G116" t="inlineStr">
        <is>
          <t>SKÖVDE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45586</v>
      </c>
      <c r="E117" s="1" t="n">
        <v>46251</v>
      </c>
      <c r="F117" t="inlineStr">
        <is>
          <t>VÄSTRA GÖTALANDS LÄN</t>
        </is>
      </c>
      <c r="G117" t="inlineStr">
        <is>
          <t>SKÖVDE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46251</v>
      </c>
      <c r="F118" t="inlineStr">
        <is>
          <t>VÄSTRA GÖTALANDS LÄN</t>
        </is>
      </c>
      <c r="G118" t="inlineStr">
        <is>
          <t>SKÖVDE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46251</v>
      </c>
      <c r="F119" t="inlineStr">
        <is>
          <t>VÄSTRA GÖTALANDS LÄN</t>
        </is>
      </c>
      <c r="G119" t="inlineStr">
        <is>
          <t>SKÖVDE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46251</v>
      </c>
      <c r="F120" t="inlineStr">
        <is>
          <t>VÄSTRA GÖTALANDS LÄN</t>
        </is>
      </c>
      <c r="G120" t="inlineStr">
        <is>
          <t>SKÖVDE</t>
        </is>
      </c>
      <c r="I120" t="n">
        <v>11.8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46251</v>
      </c>
      <c r="F121" t="inlineStr">
        <is>
          <t>VÄSTRA GÖTALANDS LÄN</t>
        </is>
      </c>
      <c r="G121" t="inlineStr">
        <is>
          <t>SKÖVDE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45134</v>
      </c>
      <c r="E122" s="1" t="n">
        <v>46251</v>
      </c>
      <c r="F122" t="inlineStr">
        <is>
          <t>VÄSTRA GÖTALANDS LÄN</t>
        </is>
      </c>
      <c r="G122" t="inlineStr">
        <is>
          <t>SKÖVDE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46251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46091</v>
      </c>
      <c r="E124" s="1" t="n">
        <v>46251</v>
      </c>
      <c r="F124" t="inlineStr">
        <is>
          <t>VÄSTRA GÖTALANDS LÄN</t>
        </is>
      </c>
      <c r="G124" t="inlineStr">
        <is>
          <t>SKÖVDE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45694</v>
      </c>
      <c r="E125" s="1" t="n">
        <v>46251</v>
      </c>
      <c r="F125" t="inlineStr">
        <is>
          <t>VÄSTRA GÖTALANDS LÄN</t>
        </is>
      </c>
      <c r="G125" t="inlineStr">
        <is>
          <t>SKÖVDE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46251</v>
      </c>
      <c r="F126" t="inlineStr">
        <is>
          <t>VÄSTRA GÖTALANDS LÄN</t>
        </is>
      </c>
      <c r="G126" t="inlineStr">
        <is>
          <t>SKÖVDE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46251</v>
      </c>
      <c r="F127" t="inlineStr">
        <is>
          <t>VÄSTRA GÖTALANDS LÄN</t>
        </is>
      </c>
      <c r="G127" t="inlineStr">
        <is>
          <t>SKÖVDE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44586</v>
      </c>
      <c r="E128" s="1" t="n">
        <v>46251</v>
      </c>
      <c r="F128" t="inlineStr">
        <is>
          <t>VÄSTRA GÖTALANDS LÄN</t>
        </is>
      </c>
      <c r="G128" t="inlineStr">
        <is>
          <t>SKÖVDE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45301</v>
      </c>
      <c r="E129" s="1" t="n">
        <v>46251</v>
      </c>
      <c r="F129" t="inlineStr">
        <is>
          <t>VÄSTRA GÖTALANDS LÄN</t>
        </is>
      </c>
      <c r="G129" t="inlineStr">
        <is>
          <t>SKÖVDE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46251</v>
      </c>
      <c r="F130" t="inlineStr">
        <is>
          <t>VÄSTRA GÖTALANDS LÄN</t>
        </is>
      </c>
      <c r="G130" t="inlineStr">
        <is>
          <t>SKÖVDE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45401</v>
      </c>
      <c r="E131" s="1" t="n">
        <v>46251</v>
      </c>
      <c r="F131" t="inlineStr">
        <is>
          <t>VÄSTRA GÖTALANDS LÄN</t>
        </is>
      </c>
      <c r="G131" t="inlineStr">
        <is>
          <t>SKÖVDE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34834-2022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46251</v>
      </c>
      <c r="F132" t="inlineStr">
        <is>
          <t>VÄSTRA GÖTALANDS LÄN</t>
        </is>
      </c>
      <c r="G132" t="inlineStr">
        <is>
          <t>SKÖVDE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44636</v>
      </c>
      <c r="E133" s="1" t="n">
        <v>46251</v>
      </c>
      <c r="F133" t="inlineStr">
        <is>
          <t>VÄSTRA GÖTALANDS LÄN</t>
        </is>
      </c>
      <c r="G133" t="inlineStr">
        <is>
          <t>SKÖVDE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46251</v>
      </c>
      <c r="F134" t="inlineStr">
        <is>
          <t>VÄSTRA GÖTALANDS LÄN</t>
        </is>
      </c>
      <c r="G134" t="inlineStr">
        <is>
          <t>SKÖVDE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46251</v>
      </c>
      <c r="F135" t="inlineStr">
        <is>
          <t>VÄSTRA GÖTALANDS LÄN</t>
        </is>
      </c>
      <c r="G135" t="inlineStr">
        <is>
          <t>SKÖVDE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44599</v>
      </c>
      <c r="E136" s="1" t="n">
        <v>46251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Kyrkan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46251</v>
      </c>
      <c r="F137" t="inlineStr">
        <is>
          <t>VÄSTRA GÖTALANDS LÄN</t>
        </is>
      </c>
      <c r="G137" t="inlineStr">
        <is>
          <t>SKÖVDE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14281-2026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46099</v>
      </c>
      <c r="E138" s="1" t="n">
        <v>46251</v>
      </c>
      <c r="F138" t="inlineStr">
        <is>
          <t>VÄSTRA GÖTALANDS LÄN</t>
        </is>
      </c>
      <c r="G138" t="inlineStr">
        <is>
          <t>SKÖVDE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46251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46251</v>
      </c>
      <c r="F140" t="inlineStr">
        <is>
          <t>VÄSTRA GÖTALANDS LÄN</t>
        </is>
      </c>
      <c r="G140" t="inlineStr">
        <is>
          <t>SKÖVDE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46251</v>
      </c>
      <c r="F141" t="inlineStr">
        <is>
          <t>VÄSTRA GÖTALANDS LÄN</t>
        </is>
      </c>
      <c r="G141" t="inlineStr">
        <is>
          <t>SKÖVDE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46251</v>
      </c>
      <c r="F142" t="inlineStr">
        <is>
          <t>VÄSTRA GÖTALANDS LÄN</t>
        </is>
      </c>
      <c r="G142" t="inlineStr">
        <is>
          <t>SKÖVDE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46251</v>
      </c>
      <c r="F143" t="inlineStr">
        <is>
          <t>VÄSTRA GÖTALANDS LÄN</t>
        </is>
      </c>
      <c r="G143" t="inlineStr">
        <is>
          <t>SKÖVDE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44425</v>
      </c>
      <c r="E144" s="1" t="n">
        <v>46251</v>
      </c>
      <c r="F144" t="inlineStr">
        <is>
          <t>VÄSTRA GÖTALANDS LÄN</t>
        </is>
      </c>
      <c r="G144" t="inlineStr">
        <is>
          <t>SKÖVDE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44601</v>
      </c>
      <c r="E145" s="1" t="n">
        <v>46251</v>
      </c>
      <c r="F145" t="inlineStr">
        <is>
          <t>VÄSTRA GÖTALANDS LÄN</t>
        </is>
      </c>
      <c r="G145" t="inlineStr">
        <is>
          <t>SKÖVDE</t>
        </is>
      </c>
      <c r="H145" t="inlineStr">
        <is>
          <t>Kommuner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44750</v>
      </c>
      <c r="E146" s="1" t="n">
        <v>46251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46251</v>
      </c>
      <c r="F147" t="inlineStr">
        <is>
          <t>VÄSTRA GÖTALANDS LÄN</t>
        </is>
      </c>
      <c r="G147" t="inlineStr">
        <is>
          <t>SKÖVDE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44963</v>
      </c>
      <c r="E148" s="1" t="n">
        <v>46251</v>
      </c>
      <c r="F148" t="inlineStr">
        <is>
          <t>VÄSTRA GÖTALANDS LÄN</t>
        </is>
      </c>
      <c r="G148" t="inlineStr">
        <is>
          <t>SKÖVDE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44600</v>
      </c>
      <c r="E149" s="1" t="n">
        <v>46251</v>
      </c>
      <c r="F149" t="inlineStr">
        <is>
          <t>VÄSTRA GÖTALANDS LÄN</t>
        </is>
      </c>
      <c r="G149" t="inlineStr">
        <is>
          <t>SKÖVDE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46251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46251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46251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40995-2022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44825</v>
      </c>
      <c r="E153" s="1" t="n">
        <v>46251</v>
      </c>
      <c r="F153" t="inlineStr">
        <is>
          <t>VÄSTRA GÖTALANDS LÄN</t>
        </is>
      </c>
      <c r="G153" t="inlineStr">
        <is>
          <t>SKÖVDE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46251</v>
      </c>
      <c r="F154" t="inlineStr">
        <is>
          <t>VÄSTRA GÖTALANDS LÄN</t>
        </is>
      </c>
      <c r="G154" t="inlineStr">
        <is>
          <t>SKÖVDE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46251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Kommuner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46251</v>
      </c>
      <c r="F156" t="inlineStr">
        <is>
          <t>VÄSTRA GÖTALANDS LÄN</t>
        </is>
      </c>
      <c r="G156" t="inlineStr">
        <is>
          <t>SKÖVDE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13669-2023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45006</v>
      </c>
      <c r="E157" s="1" t="n">
        <v>46251</v>
      </c>
      <c r="F157" t="inlineStr">
        <is>
          <t>VÄSTRA GÖTALANDS LÄN</t>
        </is>
      </c>
      <c r="G157" t="inlineStr">
        <is>
          <t>SKÖVDE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34248-2023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45138</v>
      </c>
      <c r="E158" s="1" t="n">
        <v>46251</v>
      </c>
      <c r="F158" t="inlineStr">
        <is>
          <t>VÄSTRA GÖTALANDS LÄN</t>
        </is>
      </c>
      <c r="G158" t="inlineStr">
        <is>
          <t>SKÖVDE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46251</v>
      </c>
      <c r="F159" t="inlineStr">
        <is>
          <t>VÄSTRA GÖTALANDS LÄN</t>
        </is>
      </c>
      <c r="G159" t="inlineStr">
        <is>
          <t>SKÖVDE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46251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46251</v>
      </c>
      <c r="F161" t="inlineStr">
        <is>
          <t>VÄSTRA GÖTALANDS LÄN</t>
        </is>
      </c>
      <c r="G161" t="inlineStr">
        <is>
          <t>SKÖVDE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46251</v>
      </c>
      <c r="F162" t="inlineStr">
        <is>
          <t>VÄSTRA GÖTALANDS LÄN</t>
        </is>
      </c>
      <c r="G162" t="inlineStr">
        <is>
          <t>SKÖVDE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46251</v>
      </c>
      <c r="F163" t="inlineStr">
        <is>
          <t>VÄSTRA GÖTALANDS LÄN</t>
        </is>
      </c>
      <c r="G163" t="inlineStr">
        <is>
          <t>SKÖVDE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46251</v>
      </c>
      <c r="F164" t="inlineStr">
        <is>
          <t>VÄSTRA GÖTALANDS LÄN</t>
        </is>
      </c>
      <c r="G164" t="inlineStr">
        <is>
          <t>SKÖVDE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46251</v>
      </c>
      <c r="F165" t="inlineStr">
        <is>
          <t>VÄSTRA GÖTALANDS LÄN</t>
        </is>
      </c>
      <c r="G165" t="inlineStr">
        <is>
          <t>SKÖVDE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46251</v>
      </c>
      <c r="F166" t="inlineStr">
        <is>
          <t>VÄSTRA GÖTALANDS LÄN</t>
        </is>
      </c>
      <c r="G166" t="inlineStr">
        <is>
          <t>SKÖVDE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46251</v>
      </c>
      <c r="F167" t="inlineStr">
        <is>
          <t>VÄSTRA GÖTALANDS LÄN</t>
        </is>
      </c>
      <c r="G167" t="inlineStr">
        <is>
          <t>SKÖVDE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46251</v>
      </c>
      <c r="F168" t="inlineStr">
        <is>
          <t>VÄSTRA GÖTALANDS LÄN</t>
        </is>
      </c>
      <c r="G168" t="inlineStr">
        <is>
          <t>SKÖVDE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45847</v>
      </c>
      <c r="E169" s="1" t="n">
        <v>46251</v>
      </c>
      <c r="F169" t="inlineStr">
        <is>
          <t>VÄSTRA GÖTALANDS LÄN</t>
        </is>
      </c>
      <c r="G169" t="inlineStr">
        <is>
          <t>SKÖVDE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46013</v>
      </c>
      <c r="E170" s="1" t="n">
        <v>46251</v>
      </c>
      <c r="F170" t="inlineStr">
        <is>
          <t>VÄSTRA GÖTALANDS LÄN</t>
        </is>
      </c>
      <c r="G170" t="inlineStr">
        <is>
          <t>SKÖVDE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45013</v>
      </c>
      <c r="E171" s="1" t="n">
        <v>46251</v>
      </c>
      <c r="F171" t="inlineStr">
        <is>
          <t>VÄSTRA GÖTALANDS LÄN</t>
        </is>
      </c>
      <c r="G171" t="inlineStr">
        <is>
          <t>SKÖVDE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46251</v>
      </c>
      <c r="F172" t="inlineStr">
        <is>
          <t>VÄSTRA GÖTALANDS LÄN</t>
        </is>
      </c>
      <c r="G172" t="inlineStr">
        <is>
          <t>SKÖVDE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46017</v>
      </c>
      <c r="E173" s="1" t="n">
        <v>46251</v>
      </c>
      <c r="F173" t="inlineStr">
        <is>
          <t>VÄSTRA GÖTALANDS LÄN</t>
        </is>
      </c>
      <c r="G173" t="inlineStr">
        <is>
          <t>SKÖVDE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46251</v>
      </c>
      <c r="F174" t="inlineStr">
        <is>
          <t>VÄSTRA GÖTALANDS LÄN</t>
        </is>
      </c>
      <c r="G174" t="inlineStr">
        <is>
          <t>SKÖVDE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67134-2021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46251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45105</v>
      </c>
      <c r="E176" s="1" t="n">
        <v>46251</v>
      </c>
      <c r="F176" t="inlineStr">
        <is>
          <t>VÄSTRA GÖTALANDS LÄN</t>
        </is>
      </c>
      <c r="G176" t="inlineStr">
        <is>
          <t>SKÖVDE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46251</v>
      </c>
      <c r="F177" t="inlineStr">
        <is>
          <t>VÄSTRA GÖTALANDS LÄN</t>
        </is>
      </c>
      <c r="G177" t="inlineStr">
        <is>
          <t>SKÖVDE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46251</v>
      </c>
      <c r="F178" t="inlineStr">
        <is>
          <t>VÄSTRA GÖTALANDS LÄN</t>
        </is>
      </c>
      <c r="G178" t="inlineStr">
        <is>
          <t>SKÖVDE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46251</v>
      </c>
      <c r="F179" t="inlineStr">
        <is>
          <t>VÄSTRA GÖTALANDS LÄN</t>
        </is>
      </c>
      <c r="G179" t="inlineStr">
        <is>
          <t>SKÖVDE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45086</v>
      </c>
      <c r="E180" s="1" t="n">
        <v>46251</v>
      </c>
      <c r="F180" t="inlineStr">
        <is>
          <t>VÄSTRA GÖTALANDS LÄN</t>
        </is>
      </c>
      <c r="G180" t="inlineStr">
        <is>
          <t>SKÖVDE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48149-2023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46251</v>
      </c>
      <c r="F181" t="inlineStr">
        <is>
          <t>VÄSTRA GÖTALANDS LÄN</t>
        </is>
      </c>
      <c r="G181" t="inlineStr">
        <is>
          <t>SKÖVDE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60117-2021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44495</v>
      </c>
      <c r="E182" s="1" t="n">
        <v>46251</v>
      </c>
      <c r="F182" t="inlineStr">
        <is>
          <t>VÄSTRA GÖTALANDS LÄN</t>
        </is>
      </c>
      <c r="G182" t="inlineStr">
        <is>
          <t>SKÖVDE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6092-2026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46052</v>
      </c>
      <c r="E183" s="1" t="n">
        <v>46251</v>
      </c>
      <c r="F183" t="inlineStr">
        <is>
          <t>VÄSTRA GÖTALANDS LÄN</t>
        </is>
      </c>
      <c r="G183" t="inlineStr">
        <is>
          <t>SKÖVDE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46251</v>
      </c>
      <c r="F184" t="inlineStr">
        <is>
          <t>VÄSTRA GÖTALANDS LÄN</t>
        </is>
      </c>
      <c r="G184" t="inlineStr">
        <is>
          <t>SKÖVDE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63374-2025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46251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Övriga statliga verk och myndigheter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46251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Övriga statliga verk och myndigheter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46251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Övriga statliga verk och myndigheter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46251</v>
      </c>
      <c r="F188" t="inlineStr">
        <is>
          <t>VÄSTRA GÖTALANDS LÄN</t>
        </is>
      </c>
      <c r="G188" t="inlineStr">
        <is>
          <t>SKÖVDE</t>
        </is>
      </c>
      <c r="H188" t="inlineStr">
        <is>
          <t>Övriga statliga verk och myndigheter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46062</v>
      </c>
      <c r="E189" s="1" t="n">
        <v>46251</v>
      </c>
      <c r="F189" t="inlineStr">
        <is>
          <t>VÄSTRA GÖTALANDS LÄN</t>
        </is>
      </c>
      <c r="G189" t="inlineStr">
        <is>
          <t>SKÖVDE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46251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46251</v>
      </c>
      <c r="F191" t="inlineStr">
        <is>
          <t>VÄSTRA GÖTALANDS LÄN</t>
        </is>
      </c>
      <c r="G191" t="inlineStr">
        <is>
          <t>SKÖVDE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45376</v>
      </c>
      <c r="E192" s="1" t="n">
        <v>46251</v>
      </c>
      <c r="F192" t="inlineStr">
        <is>
          <t>VÄSTRA GÖTALANDS LÄN</t>
        </is>
      </c>
      <c r="G192" t="inlineStr">
        <is>
          <t>SKÖVDE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46251</v>
      </c>
      <c r="F193" t="inlineStr">
        <is>
          <t>VÄSTRA GÖTALANDS LÄN</t>
        </is>
      </c>
      <c r="G193" t="inlineStr">
        <is>
          <t>SKÖVDE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46251</v>
      </c>
      <c r="F194" t="inlineStr">
        <is>
          <t>VÄSTRA GÖTALANDS LÄN</t>
        </is>
      </c>
      <c r="G194" t="inlineStr">
        <is>
          <t>SKÖVDE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46251</v>
      </c>
      <c r="F195" t="inlineStr">
        <is>
          <t>VÄSTRA GÖTALANDS LÄN</t>
        </is>
      </c>
      <c r="G195" t="inlineStr">
        <is>
          <t>SKÖVDE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46251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35280-2024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45530</v>
      </c>
      <c r="E197" s="1" t="n">
        <v>46251</v>
      </c>
      <c r="F197" t="inlineStr">
        <is>
          <t>VÄSTRA GÖTALANDS LÄN</t>
        </is>
      </c>
      <c r="G197" t="inlineStr">
        <is>
          <t>SKÖVDE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46251</v>
      </c>
      <c r="F198" t="inlineStr">
        <is>
          <t>VÄSTRA GÖTALANDS LÄN</t>
        </is>
      </c>
      <c r="G198" t="inlineStr">
        <is>
          <t>SKÖVDE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46251</v>
      </c>
      <c r="F199" t="inlineStr">
        <is>
          <t>VÄSTRA GÖTALANDS LÄN</t>
        </is>
      </c>
      <c r="G199" t="inlineStr">
        <is>
          <t>SKÖVDE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46251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46251</v>
      </c>
      <c r="F201" t="inlineStr">
        <is>
          <t>VÄSTRA GÖTALANDS LÄN</t>
        </is>
      </c>
      <c r="G201" t="inlineStr">
        <is>
          <t>SKÖVDE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45687</v>
      </c>
      <c r="E202" s="1" t="n">
        <v>46251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49954-2023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46251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44743</v>
      </c>
      <c r="E204" s="1" t="n">
        <v>46251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46251</v>
      </c>
      <c r="F205" t="inlineStr">
        <is>
          <t>VÄSTRA GÖTALANDS LÄN</t>
        </is>
      </c>
      <c r="G205" t="inlineStr">
        <is>
          <t>SKÖVDE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44804</v>
      </c>
      <c r="E206" s="1" t="n">
        <v>46251</v>
      </c>
      <c r="F206" t="inlineStr">
        <is>
          <t>VÄSTRA GÖTALANDS LÄN</t>
        </is>
      </c>
      <c r="G206" t="inlineStr">
        <is>
          <t>SKÖVDE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46251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45082</v>
      </c>
      <c r="E208" s="1" t="n">
        <v>46251</v>
      </c>
      <c r="F208" t="inlineStr">
        <is>
          <t>VÄSTRA GÖTALANDS LÄN</t>
        </is>
      </c>
      <c r="G208" t="inlineStr">
        <is>
          <t>SKÖVDE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46251</v>
      </c>
      <c r="F209" t="inlineStr">
        <is>
          <t>VÄSTRA GÖTALANDS LÄN</t>
        </is>
      </c>
      <c r="G209" t="inlineStr">
        <is>
          <t>SKÖVDE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46251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46251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46251</v>
      </c>
      <c r="F212" t="inlineStr">
        <is>
          <t>VÄSTRA GÖTALANDS LÄN</t>
        </is>
      </c>
      <c r="G212" t="inlineStr">
        <is>
          <t>SKÖVDE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60588-2023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45259</v>
      </c>
      <c r="E213" s="1" t="n">
        <v>46251</v>
      </c>
      <c r="F213" t="inlineStr">
        <is>
          <t>VÄSTRA GÖTALANDS LÄN</t>
        </is>
      </c>
      <c r="G213" t="inlineStr">
        <is>
          <t>SKÖVDE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46251</v>
      </c>
      <c r="F214" t="inlineStr">
        <is>
          <t>VÄSTRA GÖTALANDS LÄN</t>
        </is>
      </c>
      <c r="G214" t="inlineStr">
        <is>
          <t>SKÖVDE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51886-2021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46251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46251</v>
      </c>
      <c r="F216" t="inlineStr">
        <is>
          <t>VÄSTRA GÖTALANDS LÄN</t>
        </is>
      </c>
      <c r="G216" t="inlineStr">
        <is>
          <t>SKÖVDE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2901-2026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46038</v>
      </c>
      <c r="E217" s="1" t="n">
        <v>46251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44959</v>
      </c>
      <c r="E218" s="1" t="n">
        <v>46251</v>
      </c>
      <c r="F218" t="inlineStr">
        <is>
          <t>VÄSTRA GÖTALANDS LÄN</t>
        </is>
      </c>
      <c r="G218" t="inlineStr">
        <is>
          <t>SKÖVDE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17798-2024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45418</v>
      </c>
      <c r="E219" s="1" t="n">
        <v>46251</v>
      </c>
      <c r="F219" t="inlineStr">
        <is>
          <t>VÄSTRA GÖTALANDS LÄN</t>
        </is>
      </c>
      <c r="G219" t="inlineStr">
        <is>
          <t>SKÖVDE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46251</v>
      </c>
      <c r="F220" t="inlineStr">
        <is>
          <t>VÄSTRA GÖTALANDS LÄN</t>
        </is>
      </c>
      <c r="G220" t="inlineStr">
        <is>
          <t>SKÖVDE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45306</v>
      </c>
      <c r="E221" s="1" t="n">
        <v>46251</v>
      </c>
      <c r="F221" t="inlineStr">
        <is>
          <t>VÄSTRA GÖTALANDS LÄN</t>
        </is>
      </c>
      <c r="G221" t="inlineStr">
        <is>
          <t>SKÖVDE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46251</v>
      </c>
      <c r="F222" t="inlineStr">
        <is>
          <t>VÄSTRA GÖTALANDS LÄN</t>
        </is>
      </c>
      <c r="G222" t="inlineStr">
        <is>
          <t>SKÖVDE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45710</v>
      </c>
      <c r="E223" s="1" t="n">
        <v>46251</v>
      </c>
      <c r="F223" t="inlineStr">
        <is>
          <t>VÄSTRA GÖTALANDS LÄN</t>
        </is>
      </c>
      <c r="G223" t="inlineStr">
        <is>
          <t>SKÖVDE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46251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46251</v>
      </c>
      <c r="F225" t="inlineStr">
        <is>
          <t>VÄSTRA GÖTALANDS LÄN</t>
        </is>
      </c>
      <c r="G225" t="inlineStr">
        <is>
          <t>SKÖVDE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45142</v>
      </c>
      <c r="E226" s="1" t="n">
        <v>46251</v>
      </c>
      <c r="F226" t="inlineStr">
        <is>
          <t>VÄSTRA GÖTALANDS LÄN</t>
        </is>
      </c>
      <c r="G226" t="inlineStr">
        <is>
          <t>SKÖVDE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46251</v>
      </c>
      <c r="F227" t="inlineStr">
        <is>
          <t>VÄSTRA GÖTALANDS LÄN</t>
        </is>
      </c>
      <c r="G227" t="inlineStr">
        <is>
          <t>SKÖVDE</t>
        </is>
      </c>
      <c r="H227" t="inlineStr">
        <is>
          <t>Kommuner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45796</v>
      </c>
      <c r="E228" s="1" t="n">
        <v>46251</v>
      </c>
      <c r="F228" t="inlineStr">
        <is>
          <t>VÄSTRA GÖTALANDS LÄN</t>
        </is>
      </c>
      <c r="G228" t="inlineStr">
        <is>
          <t>SKÖVDE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45334</v>
      </c>
      <c r="E229" s="1" t="n">
        <v>46251</v>
      </c>
      <c r="F229" t="inlineStr">
        <is>
          <t>VÄSTRA GÖTALANDS LÄN</t>
        </is>
      </c>
      <c r="G229" t="inlineStr">
        <is>
          <t>SKÖVDE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46251</v>
      </c>
      <c r="F230" t="inlineStr">
        <is>
          <t>VÄSTRA GÖTALANDS LÄN</t>
        </is>
      </c>
      <c r="G230" t="inlineStr">
        <is>
          <t>SKÖVDE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46251</v>
      </c>
      <c r="F231" t="inlineStr">
        <is>
          <t>VÄSTRA GÖTALANDS LÄN</t>
        </is>
      </c>
      <c r="G231" t="inlineStr">
        <is>
          <t>SKÖVDE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24962-2025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46251</v>
      </c>
      <c r="F232" t="inlineStr">
        <is>
          <t>VÄSTRA GÖTALANDS LÄN</t>
        </is>
      </c>
      <c r="G232" t="inlineStr">
        <is>
          <t>SKÖVDE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46251</v>
      </c>
      <c r="F233" t="inlineStr">
        <is>
          <t>VÄSTRA GÖTALANDS LÄN</t>
        </is>
      </c>
      <c r="G233" t="inlineStr">
        <is>
          <t>SKÖVDE</t>
        </is>
      </c>
      <c r="H233" t="inlineStr">
        <is>
          <t>Kommuner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25639-2025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45800</v>
      </c>
      <c r="E234" s="1" t="n">
        <v>46251</v>
      </c>
      <c r="F234" t="inlineStr">
        <is>
          <t>VÄSTRA GÖTALANDS LÄN</t>
        </is>
      </c>
      <c r="G234" t="inlineStr">
        <is>
          <t>SKÖVDE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46251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Kommuner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25642-2025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45803</v>
      </c>
      <c r="E236" s="1" t="n">
        <v>46251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45169</v>
      </c>
      <c r="E237" s="1" t="n">
        <v>46251</v>
      </c>
      <c r="F237" t="inlineStr">
        <is>
          <t>VÄSTRA GÖTALANDS LÄN</t>
        </is>
      </c>
      <c r="G237" t="inlineStr">
        <is>
          <t>SKÖVDE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45560</v>
      </c>
      <c r="E238" s="1" t="n">
        <v>46251</v>
      </c>
      <c r="F238" t="inlineStr">
        <is>
          <t>VÄSTRA GÖTALANDS LÄN</t>
        </is>
      </c>
      <c r="G238" t="inlineStr">
        <is>
          <t>SKÖVDE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45810</v>
      </c>
      <c r="E239" s="1" t="n">
        <v>46251</v>
      </c>
      <c r="F239" t="inlineStr">
        <is>
          <t>VÄSTRA GÖTALANDS LÄN</t>
        </is>
      </c>
      <c r="G239" t="inlineStr">
        <is>
          <t>SKÖVDE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45810</v>
      </c>
      <c r="E240" s="1" t="n">
        <v>46251</v>
      </c>
      <c r="F240" t="inlineStr">
        <is>
          <t>VÄSTRA GÖTALANDS LÄN</t>
        </is>
      </c>
      <c r="G240" t="inlineStr">
        <is>
          <t>SKÖVDE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46251</v>
      </c>
      <c r="F241" t="inlineStr">
        <is>
          <t>VÄSTRA GÖTALANDS LÄN</t>
        </is>
      </c>
      <c r="G241" t="inlineStr">
        <is>
          <t>SKÖVDE</t>
        </is>
      </c>
      <c r="I241" t="n">
        <v>12.3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46182</v>
      </c>
      <c r="E242" s="1" t="n">
        <v>46251</v>
      </c>
      <c r="F242" t="inlineStr">
        <is>
          <t>VÄSTRA GÖTALANDS LÄN</t>
        </is>
      </c>
      <c r="G242" t="inlineStr">
        <is>
          <t>SKÖVDE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46182</v>
      </c>
      <c r="E243" s="1" t="n">
        <v>46251</v>
      </c>
      <c r="F243" t="inlineStr">
        <is>
          <t>VÄSTRA GÖTALANDS LÄN</t>
        </is>
      </c>
      <c r="G243" t="inlineStr">
        <is>
          <t>SKÖVDE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46251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45230</v>
      </c>
      <c r="E245" s="1" t="n">
        <v>46251</v>
      </c>
      <c r="F245" t="inlineStr">
        <is>
          <t>VÄSTRA GÖTALANDS LÄN</t>
        </is>
      </c>
      <c r="G245" t="inlineStr">
        <is>
          <t>SKÖVDE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26914-2026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46185</v>
      </c>
      <c r="E246" s="1" t="n">
        <v>46251</v>
      </c>
      <c r="F246" t="inlineStr">
        <is>
          <t>VÄSTRA GÖTALANDS LÄN</t>
        </is>
      </c>
      <c r="G246" t="inlineStr">
        <is>
          <t>SKÖVDE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29341-2025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46251</v>
      </c>
      <c r="F247" t="inlineStr">
        <is>
          <t>VÄSTRA GÖTALANDS LÄN</t>
        </is>
      </c>
      <c r="G247" t="inlineStr">
        <is>
          <t>SKÖVDE</t>
        </is>
      </c>
      <c r="H247" t="inlineStr">
        <is>
          <t>Kommuner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46251</v>
      </c>
      <c r="F248" t="inlineStr">
        <is>
          <t>VÄSTRA GÖTALANDS LÄN</t>
        </is>
      </c>
      <c r="G248" t="inlineStr">
        <is>
          <t>SKÖVDE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46251</v>
      </c>
      <c r="F249" t="inlineStr">
        <is>
          <t>VÄSTRA GÖTALANDS LÄN</t>
        </is>
      </c>
      <c r="G249" t="inlineStr">
        <is>
          <t>SKÖVDE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46251</v>
      </c>
      <c r="F250" t="inlineStr">
        <is>
          <t>VÄSTRA GÖTALANDS LÄN</t>
        </is>
      </c>
      <c r="G250" t="inlineStr">
        <is>
          <t>SKÖVDE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46251</v>
      </c>
      <c r="F251" t="inlineStr">
        <is>
          <t>VÄSTRA GÖTALANDS LÄN</t>
        </is>
      </c>
      <c r="G251" t="inlineStr">
        <is>
          <t>SKÖVDE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46251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38750-2023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45163</v>
      </c>
      <c r="E253" s="1" t="n">
        <v>46251</v>
      </c>
      <c r="F253" t="inlineStr">
        <is>
          <t>VÄSTRA GÖTALANDS LÄN</t>
        </is>
      </c>
      <c r="G253" t="inlineStr">
        <is>
          <t>SKÖVDE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46251</v>
      </c>
      <c r="F254" t="inlineStr">
        <is>
          <t>VÄSTRA GÖTALANDS LÄN</t>
        </is>
      </c>
      <c r="G254" t="inlineStr">
        <is>
          <t>SKÖVDE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46251</v>
      </c>
      <c r="F255" t="inlineStr">
        <is>
          <t>VÄSTRA GÖTALANDS LÄN</t>
        </is>
      </c>
      <c r="G255" t="inlineStr">
        <is>
          <t>SKÖVDE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46251</v>
      </c>
      <c r="F256" t="inlineStr">
        <is>
          <t>VÄSTRA GÖTALANDS LÄN</t>
        </is>
      </c>
      <c r="G256" t="inlineStr">
        <is>
          <t>SKÖVDE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46251</v>
      </c>
      <c r="F257" t="inlineStr">
        <is>
          <t>VÄSTRA GÖTALANDS LÄN</t>
        </is>
      </c>
      <c r="G257" t="inlineStr">
        <is>
          <t>SKÖVDE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46251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45769</v>
      </c>
      <c r="E259" s="1" t="n">
        <v>46251</v>
      </c>
      <c r="F259" t="inlineStr">
        <is>
          <t>VÄSTRA GÖTALANDS LÄN</t>
        </is>
      </c>
      <c r="G259" t="inlineStr">
        <is>
          <t>SKÖVDE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46251</v>
      </c>
      <c r="F260" t="inlineStr">
        <is>
          <t>VÄSTRA GÖTALANDS LÄN</t>
        </is>
      </c>
      <c r="G260" t="inlineStr">
        <is>
          <t>SKÖVDE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46251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46251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2026-08-17T01:48:44Z</dcterms:created>
  <dcterms:modified xmlns:dcterms="http://purl.org/dc/terms/" xmlns:xsi="http://www.w3.org/2001/XMLSchema-instance" xsi:type="dcterms:W3CDTF">2026-08-17T01:48:44Z</dcterms:modified>
</cp:coreProperties>
</file>