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46256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46256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46256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46256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46256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46256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46256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46014</v>
      </c>
      <c r="E9" s="1" t="n">
        <v>46256</v>
      </c>
      <c r="F9" t="inlineStr">
        <is>
          <t>VÄSTRA GÖTALANDS LÄN</t>
        </is>
      </c>
      <c r="G9" t="inlineStr">
        <is>
          <t>SKÖVDE</t>
        </is>
      </c>
      <c r="I9" t="n">
        <v>1.2</v>
      </c>
      <c r="J9" t="n">
        <v>0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Gullklöver
Jungfrulin
Kungsspindling
Brun klibbskivling
Diskvaxskivling</t>
        </is>
      </c>
      <c r="W9">
        <f>HYPERLINK("https://klasma.github.io/Logging_1496/artfynd/A 63699-2025 artfynd.xlsx", "A 63699-2025")</f>
        <v/>
      </c>
      <c r="X9">
        <f>HYPERLINK("https://klasma.github.io/Logging_1496/kartor/A 63699-2025 karta.png", "A 63699-2025")</f>
        <v/>
      </c>
      <c r="Y9">
        <f>HYPERLINK("https://klasma.github.io/Logging_1496/kartor_geotiff/A 63699-2025 georefererad karta.tif", "A 63699-2025")</f>
        <v/>
      </c>
      <c r="AA9">
        <f>HYPERLINK("https://klasma.github.io/Logging_1496/klagomål/A 63699-2025 FSC-klagomål.docx", "A 63699-2025")</f>
        <v/>
      </c>
      <c r="AB9">
        <f>HYPERLINK("https://klasma.github.io/Logging_1496/klagomålsmail/A 63699-2025 FSC-klagomål mail.docx", "A 63699-2025")</f>
        <v/>
      </c>
      <c r="AC9">
        <f>HYPERLINK("https://klasma.github.io/Logging_1496/tillsyn/A 63699-2025 tillsynsbegäran.docx", "A 63699-2025")</f>
        <v/>
      </c>
      <c r="AD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46256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46256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46256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46256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46256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46256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46256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46256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46256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100-2023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44928</v>
      </c>
      <c r="E19" s="1" t="n">
        <v>46256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1.4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5</v>
      </c>
      <c r="U19" t="n">
        <v>5</v>
      </c>
      <c r="V19" s="2" t="inlineStr">
        <is>
          <t>Borsttåg
Ängsstarr
Purpurknipprot</t>
        </is>
      </c>
      <c r="W19">
        <f>HYPERLINK("https://klasma.github.io/Logging_1496/artfynd/A 100-2023 artfynd.xlsx", "A 100-2023")</f>
        <v/>
      </c>
      <c r="X19">
        <f>HYPERLINK("https://klasma.github.io/Logging_1496/kartor/A 100-2023 karta.png", "A 100-2023")</f>
        <v/>
      </c>
      <c r="Y19">
        <f>HYPERLINK("https://klasma.github.io/Logging_1496/kartor_geotiff/A 100-2023 georefererad karta.tif", "A 100-2023")</f>
        <v/>
      </c>
      <c r="AA19">
        <f>HYPERLINK("https://klasma.github.io/Logging_1496/klagomål/A 100-2023 FSC-klagomål.docx", "A 100-2023")</f>
        <v/>
      </c>
      <c r="AB19">
        <f>HYPERLINK("https://klasma.github.io/Logging_1496/klagomålsmail/A 100-2023 FSC-klagomål mail.docx", "A 100-2023")</f>
        <v/>
      </c>
      <c r="AC19">
        <f>HYPERLINK("https://klasma.github.io/Logging_1496/tillsyn/A 100-2023 tillsynsbegäran.docx", "A 100-2023")</f>
        <v/>
      </c>
      <c r="AD19">
        <f>HYPERLINK("https://klasma.github.io/Logging_1496/tillsynsmail/A 100-2023 tillsynsbegäran mail.docx", "A 100-2023")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46256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46256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46256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46256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46256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46256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43859-2022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44837</v>
      </c>
      <c r="E26" s="1" t="n">
        <v>46256</v>
      </c>
      <c r="F26" t="inlineStr">
        <is>
          <t>VÄSTRA GÖTALANDS LÄN</t>
        </is>
      </c>
      <c r="G26" t="inlineStr">
        <is>
          <t>SKÖVDE</t>
        </is>
      </c>
      <c r="I26" t="n">
        <v>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Gullklöver
Strandlummer
Mattlummer</t>
        </is>
      </c>
      <c r="W26">
        <f>HYPERLINK("https://klasma.github.io/Logging_1496/artfynd/A 43859-2022 artfynd.xlsx", "A 43859-2022")</f>
        <v/>
      </c>
      <c r="X26">
        <f>HYPERLINK("https://klasma.github.io/Logging_1496/kartor/A 43859-2022 karta.png", "A 43859-2022")</f>
        <v/>
      </c>
      <c r="Y26">
        <f>HYPERLINK("https://klasma.github.io/Logging_1496/kartor_geotiff/A 43859-2022 georefererad karta.tif", "A 43859-2022")</f>
        <v/>
      </c>
      <c r="AA26">
        <f>HYPERLINK("https://klasma.github.io/Logging_1496/klagomål/A 43859-2022 FSC-klagomål.docx", "A 43859-2022")</f>
        <v/>
      </c>
      <c r="AB26">
        <f>HYPERLINK("https://klasma.github.io/Logging_1496/klagomålsmail/A 43859-2022 FSC-klagomål mail.docx", "A 43859-2022")</f>
        <v/>
      </c>
      <c r="AC26">
        <f>HYPERLINK("https://klasma.github.io/Logging_1496/tillsyn/A 43859-2022 tillsynsbegäran.docx", "A 43859-2022")</f>
        <v/>
      </c>
      <c r="AD26">
        <f>HYPERLINK("https://klasma.github.io/Logging_1496/tillsynsmail/A 43859-2022 tillsynsbegäran mail.docx", "A 43859-2022")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46256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27109-2024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45471</v>
      </c>
      <c r="E28" s="1" t="n">
        <v>46256</v>
      </c>
      <c r="F28" t="inlineStr">
        <is>
          <t>VÄSTRA GÖTALANDS LÄN</t>
        </is>
      </c>
      <c r="G28" t="inlineStr">
        <is>
          <t>SKÖVDE</t>
        </is>
      </c>
      <c r="I28" t="n">
        <v>2.7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Backstarr
Jungfrulin</t>
        </is>
      </c>
      <c r="W28">
        <f>HYPERLINK("https://klasma.github.io/Logging_1496/artfynd/A 27109-2024 artfynd.xlsx", "A 27109-2024")</f>
        <v/>
      </c>
      <c r="X28">
        <f>HYPERLINK("https://klasma.github.io/Logging_1496/kartor/A 27109-2024 karta.png", "A 27109-2024")</f>
        <v/>
      </c>
      <c r="Y28">
        <f>HYPERLINK("https://klasma.github.io/Logging_1496/kartor_geotiff/A 27109-2024 georefererad karta.tif", "A 27109-2024")</f>
        <v/>
      </c>
      <c r="AA28">
        <f>HYPERLINK("https://klasma.github.io/Logging_1496/klagomål/A 27109-2024 FSC-klagomål.docx", "A 27109-2024")</f>
        <v/>
      </c>
      <c r="AB28">
        <f>HYPERLINK("https://klasma.github.io/Logging_1496/klagomålsmail/A 27109-2024 FSC-klagomål mail.docx", "A 27109-2024")</f>
        <v/>
      </c>
      <c r="AC28">
        <f>HYPERLINK("https://klasma.github.io/Logging_1496/tillsyn/A 27109-2024 tillsynsbegäran.docx", "A 27109-2024")</f>
        <v/>
      </c>
      <c r="AD28">
        <f>HYPERLINK("https://klasma.github.io/Logging_1496/tillsynsmail/A 27109-2024 tillsynsbegäran mail.docx", "A 27109-2024")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46256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47429-2021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44447</v>
      </c>
      <c r="E30" s="1" t="n">
        <v>46256</v>
      </c>
      <c r="F30" t="inlineStr">
        <is>
          <t>VÄSTRA GÖTALANDS LÄN</t>
        </is>
      </c>
      <c r="G30" t="inlineStr">
        <is>
          <t>SKÖVDE</t>
        </is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Svart trolldruva
Tibast</t>
        </is>
      </c>
      <c r="W30">
        <f>HYPERLINK("https://klasma.github.io/Logging_1496/artfynd/A 47429-2021 artfynd.xlsx", "A 47429-2021")</f>
        <v/>
      </c>
      <c r="X30">
        <f>HYPERLINK("https://klasma.github.io/Logging_1496/kartor/A 47429-2021 karta.png", "A 47429-2021")</f>
        <v/>
      </c>
      <c r="Y30">
        <f>HYPERLINK("https://klasma.github.io/Logging_1496/kartor_geotiff/A 47429-2021 georefererad karta.tif", "A 47429-2021")</f>
        <v/>
      </c>
      <c r="AA30">
        <f>HYPERLINK("https://klasma.github.io/Logging_1496/klagomål/A 47429-2021 FSC-klagomål.docx", "A 47429-2021")</f>
        <v/>
      </c>
      <c r="AB30">
        <f>HYPERLINK("https://klasma.github.io/Logging_1496/klagomålsmail/A 47429-2021 FSC-klagomål mail.docx", "A 47429-2021")</f>
        <v/>
      </c>
      <c r="AC30">
        <f>HYPERLINK("https://klasma.github.io/Logging_1496/tillsyn/A 47429-2021 tillsynsbegäran.docx", "A 47429-2021")</f>
        <v/>
      </c>
      <c r="AD30">
        <f>HYPERLINK("https://klasma.github.io/Logging_1496/tillsynsmail/A 47429-2021 tillsynsbegäran mail.docx", "A 47429-2021")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46256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46256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55642-2025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45972</v>
      </c>
      <c r="E33" s="1" t="n">
        <v>46256</v>
      </c>
      <c r="F33" t="inlineStr">
        <is>
          <t>VÄSTRA GÖTALANDS LÄN</t>
        </is>
      </c>
      <c r="G33" t="inlineStr">
        <is>
          <t>SKÖVDE</t>
        </is>
      </c>
      <c r="I33" t="n">
        <v>1.6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Fläcknycklar
Grönvit nattviol</t>
        </is>
      </c>
      <c r="W33">
        <f>HYPERLINK("https://klasma.github.io/Logging_1496/artfynd/A 55642-2025 artfynd.xlsx", "A 55642-2025")</f>
        <v/>
      </c>
      <c r="X33">
        <f>HYPERLINK("https://klasma.github.io/Logging_1496/kartor/A 55642-2025 karta.png", "A 55642-2025")</f>
        <v/>
      </c>
      <c r="Y33">
        <f>HYPERLINK("https://klasma.github.io/Logging_1496/kartor_geotiff/A 55642-2025 georefererad karta.tif", "A 55642-2025")</f>
        <v/>
      </c>
      <c r="AA33">
        <f>HYPERLINK("https://klasma.github.io/Logging_1496/klagomål/A 55642-2025 FSC-klagomål.docx", "A 55642-2025")</f>
        <v/>
      </c>
      <c r="AB33">
        <f>HYPERLINK("https://klasma.github.io/Logging_1496/klagomålsmail/A 55642-2025 FSC-klagomål mail.docx", "A 55642-2025")</f>
        <v/>
      </c>
      <c r="AC33">
        <f>HYPERLINK("https://klasma.github.io/Logging_1496/tillsyn/A 55642-2025 tillsynsbegäran.docx", "A 55642-2025")</f>
        <v/>
      </c>
      <c r="AD33">
        <f>HYPERLINK("https://klasma.github.io/Logging_1496/tillsynsmail/A 55642-2025 tillsynsbegäran mail.docx", "A 55642-2025")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46256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46256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46256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60172-2021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44495</v>
      </c>
      <c r="E37" s="1" t="n">
        <v>46256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Skogsbräsma
Fläcknycklar</t>
        </is>
      </c>
      <c r="W37">
        <f>HYPERLINK("https://klasma.github.io/Logging_1496/artfynd/A 60172-2021 artfynd.xlsx", "A 60172-2021")</f>
        <v/>
      </c>
      <c r="X37">
        <f>HYPERLINK("https://klasma.github.io/Logging_1496/kartor/A 60172-2021 karta.png", "A 60172-2021")</f>
        <v/>
      </c>
      <c r="Y37">
        <f>HYPERLINK("https://klasma.github.io/Logging_1496/kartor_geotiff/A 60172-2021 georefererad karta.tif", "A 60172-2021")</f>
        <v/>
      </c>
      <c r="AA37">
        <f>HYPERLINK("https://klasma.github.io/Logging_1496/klagomål/A 60172-2021 FSC-klagomål.docx", "A 60172-2021")</f>
        <v/>
      </c>
      <c r="AB37">
        <f>HYPERLINK("https://klasma.github.io/Logging_1496/klagomålsmail/A 60172-2021 FSC-klagomål mail.docx", "A 60172-2021")</f>
        <v/>
      </c>
      <c r="AC37">
        <f>HYPERLINK("https://klasma.github.io/Logging_1496/tillsyn/A 60172-2021 tillsynsbegäran.docx", "A 60172-2021")</f>
        <v/>
      </c>
      <c r="AD37">
        <f>HYPERLINK("https://klasma.github.io/Logging_1496/tillsynsmail/A 60172-2021 tillsynsbegäran mail.docx", "A 60172-2021")</f>
        <v/>
      </c>
    </row>
    <row r="38" ht="15" customHeight="1">
      <c r="A38" t="inlineStr">
        <is>
          <t>A 29222-2022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44750</v>
      </c>
      <c r="E38" s="1" t="n">
        <v>46256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Lundbräsma
Strutbräken</t>
        </is>
      </c>
      <c r="W38">
        <f>HYPERLINK("https://klasma.github.io/Logging_1496/artfynd/A 29222-2022 artfynd.xlsx", "A 29222-2022")</f>
        <v/>
      </c>
      <c r="X38">
        <f>HYPERLINK("https://klasma.github.io/Logging_1496/kartor/A 29222-2022 karta.png", "A 29222-2022")</f>
        <v/>
      </c>
      <c r="Y38">
        <f>HYPERLINK("https://klasma.github.io/Logging_1496/kartor_geotiff/A 29222-2022 georefererad karta.tif", "A 29222-2022")</f>
        <v/>
      </c>
      <c r="AA38">
        <f>HYPERLINK("https://klasma.github.io/Logging_1496/klagomål/A 29222-2022 FSC-klagomål.docx", "A 29222-2022")</f>
        <v/>
      </c>
      <c r="AB38">
        <f>HYPERLINK("https://klasma.github.io/Logging_1496/klagomålsmail/A 29222-2022 FSC-klagomål mail.docx", "A 29222-2022")</f>
        <v/>
      </c>
      <c r="AC38">
        <f>HYPERLINK("https://klasma.github.io/Logging_1496/tillsyn/A 29222-2022 tillsynsbegäran.docx", "A 29222-2022")</f>
        <v/>
      </c>
      <c r="AD38">
        <f>HYPERLINK("https://klasma.github.io/Logging_1496/tillsynsmail/A 29222-2022 tillsynsbegäran mail.docx", "A 29222-2022")</f>
        <v/>
      </c>
    </row>
    <row r="39" ht="15" customHeight="1">
      <c r="A39" t="inlineStr">
        <is>
          <t>A 24996-2025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46256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1.8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Granbronssopp
Fjällig taggsvamp s.str.</t>
        </is>
      </c>
      <c r="W39">
        <f>HYPERLINK("https://klasma.github.io/Logging_1496/artfynd/A 24996-2025 artfynd.xlsx", "A 24996-2025")</f>
        <v/>
      </c>
      <c r="X39">
        <f>HYPERLINK("https://klasma.github.io/Logging_1496/kartor/A 24996-2025 karta.png", "A 24996-2025")</f>
        <v/>
      </c>
      <c r="Y39">
        <f>HYPERLINK("https://klasma.github.io/Logging_1496/kartor_geotiff/A 24996-2025 georefererad karta.tif", "A 24996-2025")</f>
        <v/>
      </c>
      <c r="AA39">
        <f>HYPERLINK("https://klasma.github.io/Logging_1496/klagomål/A 24996-2025 FSC-klagomål.docx", "A 24996-2025")</f>
        <v/>
      </c>
      <c r="AB39">
        <f>HYPERLINK("https://klasma.github.io/Logging_1496/klagomålsmail/A 24996-2025 FSC-klagomål mail.docx", "A 24996-2025")</f>
        <v/>
      </c>
      <c r="AC39">
        <f>HYPERLINK("https://klasma.github.io/Logging_1496/tillsyn/A 24996-2025 tillsynsbegäran.docx", "A 24996-2025")</f>
        <v/>
      </c>
      <c r="AD39">
        <f>HYPERLINK("https://klasma.github.io/Logging_1496/tillsynsmail/A 24996-2025 tillsynsbegäran mail.docx", "A 24996-2025")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46256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14964-2025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45743</v>
      </c>
      <c r="E41" s="1" t="n">
        <v>46256</v>
      </c>
      <c r="F41" t="inlineStr">
        <is>
          <t>VÄSTRA GÖTALANDS LÄN</t>
        </is>
      </c>
      <c r="G41" t="inlineStr">
        <is>
          <t>SKÖVDE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Skogsalm
Gullpudra</t>
        </is>
      </c>
      <c r="W41">
        <f>HYPERLINK("https://klasma.github.io/Logging_1496/artfynd/A 14964-2025 artfynd.xlsx", "A 14964-2025")</f>
        <v/>
      </c>
      <c r="X41">
        <f>HYPERLINK("https://klasma.github.io/Logging_1496/kartor/A 14964-2025 karta.png", "A 14964-2025")</f>
        <v/>
      </c>
      <c r="Y41">
        <f>HYPERLINK("https://klasma.github.io/Logging_1496/kartor_geotiff/A 14964-2025 georefererad karta.tif", "A 14964-2025")</f>
        <v/>
      </c>
      <c r="AA41">
        <f>HYPERLINK("https://klasma.github.io/Logging_1496/klagomål/A 14964-2025 FSC-klagomål.docx", "A 14964-2025")</f>
        <v/>
      </c>
      <c r="AB41">
        <f>HYPERLINK("https://klasma.github.io/Logging_1496/klagomålsmail/A 14964-2025 FSC-klagomål mail.docx", "A 14964-2025")</f>
        <v/>
      </c>
      <c r="AC41">
        <f>HYPERLINK("https://klasma.github.io/Logging_1496/tillsyn/A 14964-2025 tillsynsbegäran.docx", "A 14964-2025")</f>
        <v/>
      </c>
      <c r="AD41">
        <f>HYPERLINK("https://klasma.github.io/Logging_1496/tillsynsmail/A 14964-2025 tillsynsbegäran mail.docx", "A 14964-2025")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46256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46256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46256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10602-2023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44988</v>
      </c>
      <c r="E45" s="1" t="n">
        <v>46256</v>
      </c>
      <c r="F45" t="inlineStr">
        <is>
          <t>VÄSTRA GÖTALANDS LÄN</t>
        </is>
      </c>
      <c r="G45" t="inlineStr">
        <is>
          <t>SKÖVDE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HYPERLINK("https://klasma.github.io/Logging_1496/artfynd/A 10602-2023 artfynd.xlsx", "A 10602-2023")</f>
        <v/>
      </c>
      <c r="X45">
        <f>HYPERLINK("https://klasma.github.io/Logging_1496/kartor/A 10602-2023 karta.png", "A 10602-2023")</f>
        <v/>
      </c>
      <c r="Y45">
        <f>HYPERLINK("https://klasma.github.io/Logging_1496/kartor_geotiff/A 10602-2023 georefererad karta.tif", "A 10602-2023")</f>
        <v/>
      </c>
      <c r="AA45">
        <f>HYPERLINK("https://klasma.github.io/Logging_1496/klagomål/A 10602-2023 FSC-klagomål.docx", "A 10602-2023")</f>
        <v/>
      </c>
      <c r="AB45">
        <f>HYPERLINK("https://klasma.github.io/Logging_1496/klagomålsmail/A 10602-2023 FSC-klagomål mail.docx", "A 10602-2023")</f>
        <v/>
      </c>
      <c r="AC45">
        <f>HYPERLINK("https://klasma.github.io/Logging_1496/tillsyn/A 10602-2023 tillsynsbegäran.docx", "A 10602-2023")</f>
        <v/>
      </c>
      <c r="AD45">
        <f>HYPERLINK("https://klasma.github.io/Logging_1496/tillsynsmail/A 10602-2023 tillsynsbegäran mail.docx", "A 10602-2023")</f>
        <v/>
      </c>
    </row>
    <row r="46" ht="15" customHeight="1">
      <c r="A46" t="inlineStr">
        <is>
          <t>A 15417-2023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46256</v>
      </c>
      <c r="F46" t="inlineStr">
        <is>
          <t>VÄSTRA GÖTALANDS LÄN</t>
        </is>
      </c>
      <c r="G46" t="inlineStr">
        <is>
          <t>SKÖVDE</t>
        </is>
      </c>
      <c r="I46" t="n">
        <v>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Gullpudra</t>
        </is>
      </c>
      <c r="W46">
        <f>HYPERLINK("https://klasma.github.io/Logging_1496/artfynd/A 15417-2023 artfynd.xlsx", "A 15417-2023")</f>
        <v/>
      </c>
      <c r="X46">
        <f>HYPERLINK("https://klasma.github.io/Logging_1496/kartor/A 15417-2023 karta.png", "A 15417-2023")</f>
        <v/>
      </c>
      <c r="Y46">
        <f>HYPERLINK("https://klasma.github.io/Logging_1496/kartor_geotiff/A 15417-2023 georefererad karta.tif", "A 15417-2023")</f>
        <v/>
      </c>
      <c r="AA46">
        <f>HYPERLINK("https://klasma.github.io/Logging_1496/klagomål/A 15417-2023 FSC-klagomål.docx", "A 15417-2023")</f>
        <v/>
      </c>
      <c r="AB46">
        <f>HYPERLINK("https://klasma.github.io/Logging_1496/klagomålsmail/A 15417-2023 FSC-klagomål mail.docx", "A 15417-2023")</f>
        <v/>
      </c>
      <c r="AC46">
        <f>HYPERLINK("https://klasma.github.io/Logging_1496/tillsyn/A 15417-2023 tillsynsbegäran.docx", "A 15417-2023")</f>
        <v/>
      </c>
      <c r="AD46">
        <f>HYPERLINK("https://klasma.github.io/Logging_1496/tillsynsmail/A 15417-2023 tillsynsbegäran mail.docx", "A 15417-2023")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46256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35919-2023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46256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Svinrot</t>
        </is>
      </c>
      <c r="W48">
        <f>HYPERLINK("https://klasma.github.io/Logging_1496/artfynd/A 35919-2023 artfynd.xlsx", "A 35919-2023")</f>
        <v/>
      </c>
      <c r="X48">
        <f>HYPERLINK("https://klasma.github.io/Logging_1496/kartor/A 35919-2023 karta.png", "A 35919-2023")</f>
        <v/>
      </c>
      <c r="Y48">
        <f>HYPERLINK("https://klasma.github.io/Logging_1496/kartor_geotiff/A 35919-2023 georefererad karta.tif", "A 35919-2023")</f>
        <v/>
      </c>
      <c r="AA48">
        <f>HYPERLINK("https://klasma.github.io/Logging_1496/klagomål/A 35919-2023 FSC-klagomål.docx", "A 35919-2023")</f>
        <v/>
      </c>
      <c r="AB48">
        <f>HYPERLINK("https://klasma.github.io/Logging_1496/klagomålsmail/A 35919-2023 FSC-klagomål mail.docx", "A 35919-2023")</f>
        <v/>
      </c>
      <c r="AC48">
        <f>HYPERLINK("https://klasma.github.io/Logging_1496/tillsyn/A 35919-2023 tillsynsbegäran.docx", "A 35919-2023")</f>
        <v/>
      </c>
      <c r="AD48">
        <f>HYPERLINK("https://klasma.github.io/Logging_1496/tillsynsmail/A 35919-2023 tillsynsbegäran mail.docx", "A 35919-2023")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46256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47898-2023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46256</v>
      </c>
      <c r="F50" t="inlineStr">
        <is>
          <t>VÄSTRA GÖTALANDS LÄN</t>
        </is>
      </c>
      <c r="G50" t="inlineStr">
        <is>
          <t>SKÖVDE</t>
        </is>
      </c>
      <c r="I50" t="n">
        <v>9.5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Karminticka</t>
        </is>
      </c>
      <c r="W50">
        <f>HYPERLINK("https://klasma.github.io/Logging_1496/artfynd/A 47898-2023 artfynd.xlsx", "A 47898-2023")</f>
        <v/>
      </c>
      <c r="X50">
        <f>HYPERLINK("https://klasma.github.io/Logging_1496/kartor/A 47898-2023 karta.png", "A 47898-2023")</f>
        <v/>
      </c>
      <c r="Y50">
        <f>HYPERLINK("https://klasma.github.io/Logging_1496/kartor_geotiff/A 47898-2023 georefererad karta.tif", "A 47898-2023")</f>
        <v/>
      </c>
      <c r="AA50">
        <f>HYPERLINK("https://klasma.github.io/Logging_1496/klagomål/A 47898-2023 FSC-klagomål.docx", "A 47898-2023")</f>
        <v/>
      </c>
      <c r="AB50">
        <f>HYPERLINK("https://klasma.github.io/Logging_1496/klagomålsmail/A 47898-2023 FSC-klagomål mail.docx", "A 47898-2023")</f>
        <v/>
      </c>
      <c r="AC50">
        <f>HYPERLINK("https://klasma.github.io/Logging_1496/tillsyn/A 47898-2023 tillsynsbegäran.docx", "A 47898-2023")</f>
        <v/>
      </c>
      <c r="AD50">
        <f>HYPERLINK("https://klasma.github.io/Logging_1496/tillsynsmail/A 47898-2023 tillsynsbegäran mail.docx", "A 47898-2023")</f>
        <v/>
      </c>
    </row>
    <row r="51" ht="15" customHeight="1">
      <c r="A51" t="inlineStr">
        <is>
          <t>A 61213-2024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46256</v>
      </c>
      <c r="F51" t="inlineStr">
        <is>
          <t>VÄSTRA GÖTALANDS LÄN</t>
        </is>
      </c>
      <c r="G51" t="inlineStr">
        <is>
          <t>SKÖVDE</t>
        </is>
      </c>
      <c r="I51" t="n">
        <v>2.5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61213-2024 artfynd.xlsx", "A 61213-2024")</f>
        <v/>
      </c>
      <c r="X51">
        <f>HYPERLINK("https://klasma.github.io/Logging_1496/kartor/A 61213-2024 karta.png", "A 61213-2024")</f>
        <v/>
      </c>
      <c r="Y51">
        <f>HYPERLINK("https://klasma.github.io/Logging_1496/kartor_geotiff/A 61213-2024 georefererad karta.tif", "A 61213-2024")</f>
        <v/>
      </c>
      <c r="AA51">
        <f>HYPERLINK("https://klasma.github.io/Logging_1496/klagomål/A 61213-2024 FSC-klagomål.docx", "A 61213-2024")</f>
        <v/>
      </c>
      <c r="AB51">
        <f>HYPERLINK("https://klasma.github.io/Logging_1496/klagomålsmail/A 61213-2024 FSC-klagomål mail.docx", "A 61213-2024")</f>
        <v/>
      </c>
      <c r="AC51">
        <f>HYPERLINK("https://klasma.github.io/Logging_1496/tillsyn/A 61213-2024 tillsynsbegäran.docx", "A 61213-2024")</f>
        <v/>
      </c>
      <c r="AD51">
        <f>HYPERLINK("https://klasma.github.io/Logging_1496/tillsynsmail/A 61213-2024 tillsynsbegäran mail.docx", "A 61213-2024")</f>
        <v/>
      </c>
    </row>
    <row r="52" ht="15" customHeight="1">
      <c r="A52" t="inlineStr">
        <is>
          <t>A 42904-2023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46256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Grönvit nattviol</t>
        </is>
      </c>
      <c r="W52">
        <f>HYPERLINK("https://klasma.github.io/Logging_1496/artfynd/A 42904-2023 artfynd.xlsx", "A 42904-2023")</f>
        <v/>
      </c>
      <c r="X52">
        <f>HYPERLINK("https://klasma.github.io/Logging_1496/kartor/A 42904-2023 karta.png", "A 42904-2023")</f>
        <v/>
      </c>
      <c r="Y52">
        <f>HYPERLINK("https://klasma.github.io/Logging_1496/kartor_geotiff/A 42904-2023 georefererad karta.tif", "A 42904-2023")</f>
        <v/>
      </c>
      <c r="AA52">
        <f>HYPERLINK("https://klasma.github.io/Logging_1496/klagomål/A 42904-2023 FSC-klagomål.docx", "A 42904-2023")</f>
        <v/>
      </c>
      <c r="AB52">
        <f>HYPERLINK("https://klasma.github.io/Logging_1496/klagomålsmail/A 42904-2023 FSC-klagomål mail.docx", "A 42904-2023")</f>
        <v/>
      </c>
      <c r="AC52">
        <f>HYPERLINK("https://klasma.github.io/Logging_1496/tillsyn/A 42904-2023 tillsynsbegäran.docx", "A 42904-2023")</f>
        <v/>
      </c>
      <c r="AD52">
        <f>HYPERLINK("https://klasma.github.io/Logging_1496/tillsynsmail/A 42904-2023 tillsynsbegäran mail.docx", "A 42904-2023")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46256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4464-2026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46256</v>
      </c>
      <c r="F54" t="inlineStr">
        <is>
          <t>VÄSTRA GÖTALANDS LÄN</t>
        </is>
      </c>
      <c r="G54" t="inlineStr">
        <is>
          <t>SKÖVDE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Myskmadra</t>
        </is>
      </c>
      <c r="W54">
        <f>HYPERLINK("https://klasma.github.io/Logging_1496/artfynd/A 4464-2026 artfynd.xlsx", "A 4464-2026")</f>
        <v/>
      </c>
      <c r="X54">
        <f>HYPERLINK("https://klasma.github.io/Logging_1496/kartor/A 4464-2026 karta.png", "A 4464-2026")</f>
        <v/>
      </c>
      <c r="Y54">
        <f>HYPERLINK("https://klasma.github.io/Logging_1496/kartor_geotiff/A 4464-2026 georefererad karta.tif", "A 4464-2026")</f>
        <v/>
      </c>
      <c r="AA54">
        <f>HYPERLINK("https://klasma.github.io/Logging_1496/klagomål/A 4464-2026 FSC-klagomål.docx", "A 4464-2026")</f>
        <v/>
      </c>
      <c r="AB54">
        <f>HYPERLINK("https://klasma.github.io/Logging_1496/klagomålsmail/A 4464-2026 FSC-klagomål mail.docx", "A 4464-2026")</f>
        <v/>
      </c>
      <c r="AC54">
        <f>HYPERLINK("https://klasma.github.io/Logging_1496/tillsyn/A 4464-2026 tillsynsbegäran.docx", "A 4464-2026")</f>
        <v/>
      </c>
      <c r="AD54">
        <f>HYPERLINK("https://klasma.github.io/Logging_1496/tillsynsmail/A 4464-2026 tillsynsbegäran mail.docx", "A 4464-2026")</f>
        <v/>
      </c>
    </row>
    <row r="55" ht="15" customHeight="1">
      <c r="A55" t="inlineStr">
        <is>
          <t>A 6093-2026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46052</v>
      </c>
      <c r="E55" s="1" t="n">
        <v>46256</v>
      </c>
      <c r="F55" t="inlineStr">
        <is>
          <t>VÄSTRA GÖTALANDS LÄN</t>
        </is>
      </c>
      <c r="G55" t="inlineStr">
        <is>
          <t>SKÖVDE</t>
        </is>
      </c>
      <c r="I55" t="n">
        <v>5.8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HYPERLINK("https://klasma.github.io/Logging_1496/artfynd/A 6093-2026 artfynd.xlsx", "A 6093-2026")</f>
        <v/>
      </c>
      <c r="X55">
        <f>HYPERLINK("https://klasma.github.io/Logging_1496/kartor/A 6093-2026 karta.png", "A 6093-2026")</f>
        <v/>
      </c>
      <c r="Y55">
        <f>HYPERLINK("https://klasma.github.io/Logging_1496/kartor_geotiff/A 6093-2026 georefererad karta.tif", "A 6093-2026")</f>
        <v/>
      </c>
      <c r="AA55">
        <f>HYPERLINK("https://klasma.github.io/Logging_1496/klagomål/A 6093-2026 FSC-klagomål.docx", "A 6093-2026")</f>
        <v/>
      </c>
      <c r="AB55">
        <f>HYPERLINK("https://klasma.github.io/Logging_1496/klagomålsmail/A 6093-2026 FSC-klagomål mail.docx", "A 6093-2026")</f>
        <v/>
      </c>
      <c r="AC55">
        <f>HYPERLINK("https://klasma.github.io/Logging_1496/tillsyn/A 6093-2026 tillsynsbegäran.docx", "A 6093-2026")</f>
        <v/>
      </c>
      <c r="AD55">
        <f>HYPERLINK("https://klasma.github.io/Logging_1496/tillsynsmail/A 6093-2026 tillsynsbegäran mail.docx", "A 6093-2026")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46256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24814-2026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46173</v>
      </c>
      <c r="E57" s="1" t="n">
        <v>46256</v>
      </c>
      <c r="F57" t="inlineStr">
        <is>
          <t>VÄSTRA GÖTALANDS LÄN</t>
        </is>
      </c>
      <c r="G57" t="inlineStr">
        <is>
          <t>SKÖVDE</t>
        </is>
      </c>
      <c r="I57" t="n">
        <v>6.6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Vedticka</t>
        </is>
      </c>
      <c r="W57">
        <f>HYPERLINK("https://klasma.github.io/Logging_1496/artfynd/A 24814-2026 artfynd.xlsx", "A 24814-2026")</f>
        <v/>
      </c>
      <c r="X57">
        <f>HYPERLINK("https://klasma.github.io/Logging_1496/kartor/A 24814-2026 karta.png", "A 24814-2026")</f>
        <v/>
      </c>
      <c r="Y57">
        <f>HYPERLINK("https://klasma.github.io/Logging_1496/kartor_geotiff/A 24814-2026 georefererad karta.tif", "A 24814-2026")</f>
        <v/>
      </c>
      <c r="AA57">
        <f>HYPERLINK("https://klasma.github.io/Logging_1496/klagomål/A 24814-2026 FSC-klagomål.docx", "A 24814-2026")</f>
        <v/>
      </c>
      <c r="AB57">
        <f>HYPERLINK("https://klasma.github.io/Logging_1496/klagomålsmail/A 24814-2026 FSC-klagomål mail.docx", "A 24814-2026")</f>
        <v/>
      </c>
      <c r="AC57">
        <f>HYPERLINK("https://klasma.github.io/Logging_1496/tillsyn/A 24814-2026 tillsynsbegäran.docx", "A 24814-2026")</f>
        <v/>
      </c>
      <c r="AD57">
        <f>HYPERLINK("https://klasma.github.io/Logging_1496/tillsynsmail/A 24814-2026 tillsynsbegäran mail.docx", "A 24814-2026")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46256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3951-2024 artfynd.xlsx", "A 3951-2024")</f>
        <v/>
      </c>
      <c r="X58">
        <f>HYPERLINK("https://klasma.github.io/Logging_1496/kartor/A 3951-2024 karta.png", "A 3951-2024")</f>
        <v/>
      </c>
      <c r="Y58">
        <f>HYPERLINK("https://klasma.github.io/Logging_1496/kartor_geotiff/A 3951-2024 georefererad karta.tif", "A 3951-2024")</f>
        <v/>
      </c>
      <c r="AA58">
        <f>HYPERLINK("https://klasma.github.io/Logging_1496/klagomål/A 3951-2024 FSC-klagomål.docx", "A 3951-2024")</f>
        <v/>
      </c>
      <c r="AB58">
        <f>HYPERLINK("https://klasma.github.io/Logging_1496/klagomålsmail/A 3951-2024 FSC-klagomål mail.docx", "A 3951-2024")</f>
        <v/>
      </c>
      <c r="AC58">
        <f>HYPERLINK("https://klasma.github.io/Logging_1496/tillsyn/A 3951-2024 tillsynsbegäran.docx", "A 3951-2024")</f>
        <v/>
      </c>
      <c r="AD58">
        <f>HYPERLINK("https://klasma.github.io/Logging_1496/tillsynsmail/A 3951-2024 tillsynsbegäran mail.docx", "A 3951-2024")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46256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17452-2023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46256</v>
      </c>
      <c r="F60" t="inlineStr">
        <is>
          <t>VÄSTRA GÖTALANDS LÄN</t>
        </is>
      </c>
      <c r="G60" t="inlineStr">
        <is>
          <t>SKÖVDE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HYPERLINK("https://klasma.github.io/Logging_1496/artfynd/A 17452-2023 artfynd.xlsx", "A 17452-2023")</f>
        <v/>
      </c>
      <c r="X60">
        <f>HYPERLINK("https://klasma.github.io/Logging_1496/kartor/A 17452-2023 karta.png", "A 17452-2023")</f>
        <v/>
      </c>
      <c r="Y60">
        <f>HYPERLINK("https://klasma.github.io/Logging_1496/kartor_geotiff/A 17452-2023 georefererad karta.tif", "A 17452-2023")</f>
        <v/>
      </c>
      <c r="AA60">
        <f>HYPERLINK("https://klasma.github.io/Logging_1496/klagomål/A 17452-2023 FSC-klagomål.docx", "A 17452-2023")</f>
        <v/>
      </c>
      <c r="AB60">
        <f>HYPERLINK("https://klasma.github.io/Logging_1496/klagomålsmail/A 17452-2023 FSC-klagomål mail.docx", "A 17452-2023")</f>
        <v/>
      </c>
      <c r="AC60">
        <f>HYPERLINK("https://klasma.github.io/Logging_1496/tillsyn/A 17452-2023 tillsynsbegäran.docx", "A 17452-2023")</f>
        <v/>
      </c>
      <c r="AD60">
        <f>HYPERLINK("https://klasma.github.io/Logging_1496/tillsynsmail/A 17452-2023 tillsynsbegäran mail.docx", "A 17452-2023")</f>
        <v/>
      </c>
    </row>
    <row r="61" ht="15" customHeight="1">
      <c r="A61" t="inlineStr">
        <is>
          <t>A 28717-2026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46198</v>
      </c>
      <c r="E61" s="1" t="n">
        <v>46256</v>
      </c>
      <c r="F61" t="inlineStr">
        <is>
          <t>VÄSTRA GÖTALANDS LÄN</t>
        </is>
      </c>
      <c r="G61" t="inlineStr">
        <is>
          <t>SKÖVDE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HYPERLINK("https://klasma.github.io/Logging_1496/artfynd/A 28717-2026 artfynd.xlsx", "A 28717-2026")</f>
        <v/>
      </c>
      <c r="X61">
        <f>HYPERLINK("https://klasma.github.io/Logging_1496/kartor/A 28717-2026 karta.png", "A 28717-2026")</f>
        <v/>
      </c>
      <c r="Y61">
        <f>HYPERLINK("https://klasma.github.io/Logging_1496/kartor_geotiff/A 28717-2026 georefererad karta.tif", "A 28717-2026")</f>
        <v/>
      </c>
      <c r="AA61">
        <f>HYPERLINK("https://klasma.github.io/Logging_1496/klagomål/A 28717-2026 FSC-klagomål.docx", "A 28717-2026")</f>
        <v/>
      </c>
      <c r="AB61">
        <f>HYPERLINK("https://klasma.github.io/Logging_1496/klagomålsmail/A 28717-2026 FSC-klagomål mail.docx", "A 28717-2026")</f>
        <v/>
      </c>
      <c r="AC61">
        <f>HYPERLINK("https://klasma.github.io/Logging_1496/tillsyn/A 28717-2026 tillsynsbegäran.docx", "A 28717-2026")</f>
        <v/>
      </c>
      <c r="AD61">
        <f>HYPERLINK("https://klasma.github.io/Logging_1496/tillsynsmail/A 28717-2026 tillsynsbegäran mail.docx", "A 28717-2026")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46256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46256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46256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46256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46256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46256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46256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46256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46256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46256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46256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46256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46256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46256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46256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46256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46256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46256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46256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45267</v>
      </c>
      <c r="E81" s="1" t="n">
        <v>46256</v>
      </c>
      <c r="F81" t="inlineStr">
        <is>
          <t>VÄSTRA GÖTALANDS LÄN</t>
        </is>
      </c>
      <c r="G81" t="inlineStr">
        <is>
          <t>SKÖVDE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46256</v>
      </c>
      <c r="F82" t="inlineStr">
        <is>
          <t>VÄSTRA GÖTALANDS LÄN</t>
        </is>
      </c>
      <c r="G82" t="inlineStr">
        <is>
          <t>SKÖVDE</t>
        </is>
      </c>
      <c r="H82" t="inlineStr">
        <is>
          <t>Kommuner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46256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25642-2025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45803</v>
      </c>
      <c r="E84" s="1" t="n">
        <v>46256</v>
      </c>
      <c r="F84" t="inlineStr">
        <is>
          <t>VÄSTRA GÖTALANDS LÄN</t>
        </is>
      </c>
      <c r="G84" t="inlineStr">
        <is>
          <t>SKÖVDE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46256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46256</v>
      </c>
      <c r="F86" t="inlineStr">
        <is>
          <t>VÄSTRA GÖTALANDS LÄN</t>
        </is>
      </c>
      <c r="G86" t="inlineStr">
        <is>
          <t>SKÖVDE</t>
        </is>
      </c>
      <c r="H86" t="inlineStr">
        <is>
          <t>Kommuner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25639-2025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45800</v>
      </c>
      <c r="E87" s="1" t="n">
        <v>46256</v>
      </c>
      <c r="F87" t="inlineStr">
        <is>
          <t>VÄSTRA GÖTALANDS LÄN</t>
        </is>
      </c>
      <c r="G87" t="inlineStr">
        <is>
          <t>SKÖVDE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45756</v>
      </c>
      <c r="E88" s="1" t="n">
        <v>46256</v>
      </c>
      <c r="F88" t="inlineStr">
        <is>
          <t>VÄSTRA GÖTALANDS LÄN</t>
        </is>
      </c>
      <c r="G88" t="inlineStr">
        <is>
          <t>SKÖVDE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45670</v>
      </c>
      <c r="E89" s="1" t="n">
        <v>46256</v>
      </c>
      <c r="F89" t="inlineStr">
        <is>
          <t>VÄSTRA GÖTALANDS LÄN</t>
        </is>
      </c>
      <c r="G89" t="inlineStr">
        <is>
          <t>SKÖVDE</t>
        </is>
      </c>
      <c r="I89" t="n">
        <v>11.8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44823</v>
      </c>
      <c r="E90" s="1" t="n">
        <v>46256</v>
      </c>
      <c r="F90" t="inlineStr">
        <is>
          <t>VÄSTRA GÖTALANDS LÄN</t>
        </is>
      </c>
      <c r="G90" t="inlineStr">
        <is>
          <t>SKÖVDE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44629</v>
      </c>
      <c r="E91" s="1" t="n">
        <v>46256</v>
      </c>
      <c r="F91" t="inlineStr">
        <is>
          <t>VÄSTRA GÖTALANDS LÄN</t>
        </is>
      </c>
      <c r="G91" t="inlineStr">
        <is>
          <t>SKÖVDE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44481</v>
      </c>
      <c r="E92" s="1" t="n">
        <v>46256</v>
      </c>
      <c r="F92" t="inlineStr">
        <is>
          <t>VÄSTRA GÖTALANDS LÄN</t>
        </is>
      </c>
      <c r="G92" t="inlineStr">
        <is>
          <t>SKÖVDE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46256</v>
      </c>
      <c r="F93" t="inlineStr">
        <is>
          <t>VÄSTRA GÖTALANDS LÄN</t>
        </is>
      </c>
      <c r="G93" t="inlineStr">
        <is>
          <t>SKÖVDE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46256</v>
      </c>
      <c r="F94" t="inlineStr">
        <is>
          <t>VÄSTRA GÖTALANDS LÄN</t>
        </is>
      </c>
      <c r="G94" t="inlineStr">
        <is>
          <t>SKÖVDE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44762</v>
      </c>
      <c r="E95" s="1" t="n">
        <v>46256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45884</v>
      </c>
      <c r="E96" s="1" t="n">
        <v>46256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Kyrkan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46256</v>
      </c>
      <c r="F97" t="inlineStr">
        <is>
          <t>VÄSTRA GÖTALANDS LÄN</t>
        </is>
      </c>
      <c r="G97" t="inlineStr">
        <is>
          <t>SKÖVDE</t>
        </is>
      </c>
      <c r="I97" t="n">
        <v>12.3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46256</v>
      </c>
      <c r="F98" t="inlineStr">
        <is>
          <t>VÄSTRA GÖTALANDS LÄN</t>
        </is>
      </c>
      <c r="G98" t="inlineStr">
        <is>
          <t>SKÖVDE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45853</v>
      </c>
      <c r="E99" s="1" t="n">
        <v>46256</v>
      </c>
      <c r="F99" t="inlineStr">
        <is>
          <t>VÄSTRA GÖTALANDS LÄN</t>
        </is>
      </c>
      <c r="G99" t="inlineStr">
        <is>
          <t>SKÖVDE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950-2024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46256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46256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46256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46256</v>
      </c>
      <c r="F103" t="inlineStr">
        <is>
          <t>VÄSTRA GÖTALANDS LÄN</t>
        </is>
      </c>
      <c r="G103" t="inlineStr">
        <is>
          <t>SKÖVDE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45889</v>
      </c>
      <c r="E104" s="1" t="n">
        <v>46256</v>
      </c>
      <c r="F104" t="inlineStr">
        <is>
          <t>VÄSTRA GÖTALANDS LÄN</t>
        </is>
      </c>
      <c r="G104" t="inlineStr">
        <is>
          <t>SKÖVDE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58456-2024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45635</v>
      </c>
      <c r="E105" s="1" t="n">
        <v>46256</v>
      </c>
      <c r="F105" t="inlineStr">
        <is>
          <t>VÄSTRA GÖTALANDS LÄN</t>
        </is>
      </c>
      <c r="G105" t="inlineStr">
        <is>
          <t>SKÖVDE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45204</v>
      </c>
      <c r="E106" s="1" t="n">
        <v>46256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46256</v>
      </c>
      <c r="F107" t="inlineStr">
        <is>
          <t>VÄSTRA GÖTALANDS LÄN</t>
        </is>
      </c>
      <c r="G107" t="inlineStr">
        <is>
          <t>SKÖVDE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45709</v>
      </c>
      <c r="E108" s="1" t="n">
        <v>46256</v>
      </c>
      <c r="F108" t="inlineStr">
        <is>
          <t>VÄSTRA GÖTALANDS LÄN</t>
        </is>
      </c>
      <c r="G108" t="inlineStr">
        <is>
          <t>SKÖVDE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49416-2023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46256</v>
      </c>
      <c r="F109" t="inlineStr">
        <is>
          <t>VÄSTRA GÖTALANDS LÄN</t>
        </is>
      </c>
      <c r="G109" t="inlineStr">
        <is>
          <t>SKÖVDE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46256</v>
      </c>
      <c r="F110" t="inlineStr">
        <is>
          <t>VÄSTRA GÖTALANDS LÄN</t>
        </is>
      </c>
      <c r="G110" t="inlineStr">
        <is>
          <t>SKÖVDE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46256</v>
      </c>
      <c r="F111" t="inlineStr">
        <is>
          <t>VÄSTRA GÖTALANDS LÄN</t>
        </is>
      </c>
      <c r="G111" t="inlineStr">
        <is>
          <t>SKÖVDE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46256</v>
      </c>
      <c r="F112" t="inlineStr">
        <is>
          <t>VÄSTRA GÖTALANDS LÄN</t>
        </is>
      </c>
      <c r="G112" t="inlineStr">
        <is>
          <t>SKÖVDE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29023-2025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46256</v>
      </c>
      <c r="F113" t="inlineStr">
        <is>
          <t>VÄSTRA GÖTALANDS LÄN</t>
        </is>
      </c>
      <c r="G113" t="inlineStr">
        <is>
          <t>SKÖVDE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46256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46256</v>
      </c>
      <c r="F115" t="inlineStr">
        <is>
          <t>VÄSTRA GÖTALANDS LÄN</t>
        </is>
      </c>
      <c r="G115" t="inlineStr">
        <is>
          <t>SKÖVDE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46256</v>
      </c>
      <c r="F116" t="inlineStr">
        <is>
          <t>VÄSTRA GÖTALANDS LÄN</t>
        </is>
      </c>
      <c r="G116" t="inlineStr">
        <is>
          <t>SKÖVDE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45827</v>
      </c>
      <c r="E117" s="1" t="n">
        <v>46256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Kommuner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45197</v>
      </c>
      <c r="E118" s="1" t="n">
        <v>46256</v>
      </c>
      <c r="F118" t="inlineStr">
        <is>
          <t>VÄSTRA GÖTALANDS LÄN</t>
        </is>
      </c>
      <c r="G118" t="inlineStr">
        <is>
          <t>SKÖVDE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45530</v>
      </c>
      <c r="E119" s="1" t="n">
        <v>46256</v>
      </c>
      <c r="F119" t="inlineStr">
        <is>
          <t>VÄSTRA GÖTALANDS LÄN</t>
        </is>
      </c>
      <c r="G119" t="inlineStr">
        <is>
          <t>SKÖVDE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15388-2024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45401</v>
      </c>
      <c r="E120" s="1" t="n">
        <v>46256</v>
      </c>
      <c r="F120" t="inlineStr">
        <is>
          <t>VÄSTRA GÖTALANDS LÄN</t>
        </is>
      </c>
      <c r="G120" t="inlineStr">
        <is>
          <t>SKÖVDE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46256</v>
      </c>
      <c r="F121" t="inlineStr">
        <is>
          <t>VÄSTRA GÖTALANDS LÄN</t>
        </is>
      </c>
      <c r="G121" t="inlineStr">
        <is>
          <t>SKÖVDE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46256</v>
      </c>
      <c r="F122" t="inlineStr">
        <is>
          <t>VÄSTRA GÖTALANDS LÄN</t>
        </is>
      </c>
      <c r="G122" t="inlineStr">
        <is>
          <t>SKÖVDE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44938</v>
      </c>
      <c r="E123" s="1" t="n">
        <v>46256</v>
      </c>
      <c r="F123" t="inlineStr">
        <is>
          <t>VÄSTRA GÖTALANDS LÄN</t>
        </is>
      </c>
      <c r="G123" t="inlineStr">
        <is>
          <t>SKÖVDE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45138</v>
      </c>
      <c r="E124" s="1" t="n">
        <v>46256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3481-2024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46256</v>
      </c>
      <c r="F125" t="inlineStr">
        <is>
          <t>VÄSTRA GÖTALANDS LÄN</t>
        </is>
      </c>
      <c r="G125" t="inlineStr">
        <is>
          <t>SKÖVDE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46256</v>
      </c>
      <c r="F126" t="inlineStr">
        <is>
          <t>VÄSTRA GÖTALANDS LÄN</t>
        </is>
      </c>
      <c r="G126" t="inlineStr">
        <is>
          <t>SKÖVDE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60117-2021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44495</v>
      </c>
      <c r="E127" s="1" t="n">
        <v>46256</v>
      </c>
      <c r="F127" t="inlineStr">
        <is>
          <t>VÄSTRA GÖTALANDS LÄN</t>
        </is>
      </c>
      <c r="G127" t="inlineStr">
        <is>
          <t>SKÖVDE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46256</v>
      </c>
      <c r="F128" t="inlineStr">
        <is>
          <t>VÄSTRA GÖTALANDS LÄN</t>
        </is>
      </c>
      <c r="G128" t="inlineStr">
        <is>
          <t>SKÖVDE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46256</v>
      </c>
      <c r="F129" t="inlineStr">
        <is>
          <t>VÄSTRA GÖTALANDS LÄN</t>
        </is>
      </c>
      <c r="G129" t="inlineStr">
        <is>
          <t>SKÖVDE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46256</v>
      </c>
      <c r="F130" t="inlineStr">
        <is>
          <t>VÄSTRA GÖTALANDS LÄN</t>
        </is>
      </c>
      <c r="G130" t="inlineStr">
        <is>
          <t>SKÖVDE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46256</v>
      </c>
      <c r="F131" t="inlineStr">
        <is>
          <t>VÄSTRA GÖTALANDS LÄN</t>
        </is>
      </c>
      <c r="G131" t="inlineStr">
        <is>
          <t>SKÖVDE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45539</v>
      </c>
      <c r="E132" s="1" t="n">
        <v>46256</v>
      </c>
      <c r="F132" t="inlineStr">
        <is>
          <t>VÄSTRA GÖTALANDS LÄN</t>
        </is>
      </c>
      <c r="G132" t="inlineStr">
        <is>
          <t>SKÖVDE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45560</v>
      </c>
      <c r="E133" s="1" t="n">
        <v>46256</v>
      </c>
      <c r="F133" t="inlineStr">
        <is>
          <t>VÄSTRA GÖTALANDS LÄN</t>
        </is>
      </c>
      <c r="G133" t="inlineStr">
        <is>
          <t>SKÖVDE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46256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46256</v>
      </c>
      <c r="F135" t="inlineStr">
        <is>
          <t>VÄSTRA GÖTALANDS LÄN</t>
        </is>
      </c>
      <c r="G135" t="inlineStr">
        <is>
          <t>SKÖVDE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46256</v>
      </c>
      <c r="F136" t="inlineStr">
        <is>
          <t>VÄSTRA GÖTALANDS LÄN</t>
        </is>
      </c>
      <c r="G136" t="inlineStr">
        <is>
          <t>SKÖVDE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58929-2022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46256</v>
      </c>
      <c r="F137" t="inlineStr">
        <is>
          <t>VÄSTRA GÖTALANDS LÄN</t>
        </is>
      </c>
      <c r="G137" t="inlineStr">
        <is>
          <t>SKÖVDE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45693</v>
      </c>
      <c r="E138" s="1" t="n">
        <v>46256</v>
      </c>
      <c r="F138" t="inlineStr">
        <is>
          <t>VÄSTRA GÖTALANDS LÄN</t>
        </is>
      </c>
      <c r="G138" t="inlineStr">
        <is>
          <t>SKÖVDE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45306</v>
      </c>
      <c r="E139" s="1" t="n">
        <v>46256</v>
      </c>
      <c r="F139" t="inlineStr">
        <is>
          <t>VÄSTRA GÖTALANDS LÄN</t>
        </is>
      </c>
      <c r="G139" t="inlineStr">
        <is>
          <t>SKÖVDE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46256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46256</v>
      </c>
      <c r="F141" t="inlineStr">
        <is>
          <t>VÄSTRA GÖTALANDS LÄN</t>
        </is>
      </c>
      <c r="G141" t="inlineStr">
        <is>
          <t>SKÖVDE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45230</v>
      </c>
      <c r="E142" s="1" t="n">
        <v>46256</v>
      </c>
      <c r="F142" t="inlineStr">
        <is>
          <t>VÄSTRA GÖTALANDS LÄN</t>
        </is>
      </c>
      <c r="G142" t="inlineStr">
        <is>
          <t>SKÖVDE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46256</v>
      </c>
      <c r="F143" t="inlineStr">
        <is>
          <t>VÄSTRA GÖTALANDS LÄN</t>
        </is>
      </c>
      <c r="G143" t="inlineStr">
        <is>
          <t>SKÖVDE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46256</v>
      </c>
      <c r="F144" t="inlineStr">
        <is>
          <t>VÄSTRA GÖTALANDS LÄN</t>
        </is>
      </c>
      <c r="G144" t="inlineStr">
        <is>
          <t>SKÖVDE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46256</v>
      </c>
      <c r="F145" t="inlineStr">
        <is>
          <t>VÄSTRA GÖTALANDS LÄN</t>
        </is>
      </c>
      <c r="G145" t="inlineStr">
        <is>
          <t>SKÖVDE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46256</v>
      </c>
      <c r="F146" t="inlineStr">
        <is>
          <t>VÄSTRA GÖTALANDS LÄN</t>
        </is>
      </c>
      <c r="G146" t="inlineStr">
        <is>
          <t>SKÖVDE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52172-2025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45953</v>
      </c>
      <c r="E147" s="1" t="n">
        <v>46256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Kommuner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46256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45245</v>
      </c>
      <c r="E149" s="1" t="n">
        <v>46256</v>
      </c>
      <c r="F149" t="inlineStr">
        <is>
          <t>VÄSTRA GÖTALANDS LÄN</t>
        </is>
      </c>
      <c r="G149" t="inlineStr">
        <is>
          <t>SKÖVDE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45636</v>
      </c>
      <c r="E150" s="1" t="n">
        <v>46256</v>
      </c>
      <c r="F150" t="inlineStr">
        <is>
          <t>VÄSTRA GÖTALANDS LÄN</t>
        </is>
      </c>
      <c r="G150" t="inlineStr">
        <is>
          <t>SKÖVDE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46256</v>
      </c>
      <c r="F151" t="inlineStr">
        <is>
          <t>VÄSTRA GÖTALANDS LÄN</t>
        </is>
      </c>
      <c r="G151" t="inlineStr">
        <is>
          <t>SKÖVDE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26737-2023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46256</v>
      </c>
      <c r="F152" t="inlineStr">
        <is>
          <t>VÄSTRA GÖTALANDS LÄN</t>
        </is>
      </c>
      <c r="G152" t="inlineStr">
        <is>
          <t>SKÖVDE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45694</v>
      </c>
      <c r="E153" s="1" t="n">
        <v>46256</v>
      </c>
      <c r="F153" t="inlineStr">
        <is>
          <t>VÄSTRA GÖTALANDS LÄN</t>
        </is>
      </c>
      <c r="G153" t="inlineStr">
        <is>
          <t>SKÖVDE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46256</v>
      </c>
      <c r="F154" t="inlineStr">
        <is>
          <t>VÄSTRA GÖTALANDS LÄN</t>
        </is>
      </c>
      <c r="G154" t="inlineStr">
        <is>
          <t>SKÖVDE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33861-2025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45842</v>
      </c>
      <c r="E155" s="1" t="n">
        <v>46256</v>
      </c>
      <c r="F155" t="inlineStr">
        <is>
          <t>VÄSTRA GÖTALANDS LÄN</t>
        </is>
      </c>
      <c r="G155" t="inlineStr">
        <is>
          <t>SKÖVDE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45215</v>
      </c>
      <c r="E156" s="1" t="n">
        <v>46256</v>
      </c>
      <c r="F156" t="inlineStr">
        <is>
          <t>VÄSTRA GÖTALANDS LÄN</t>
        </is>
      </c>
      <c r="G156" t="inlineStr">
        <is>
          <t>SKÖVDE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46256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45846</v>
      </c>
      <c r="E158" s="1" t="n">
        <v>46256</v>
      </c>
      <c r="F158" t="inlineStr">
        <is>
          <t>VÄSTRA GÖTALANDS LÄN</t>
        </is>
      </c>
      <c r="G158" t="inlineStr">
        <is>
          <t>SKÖVDE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46256</v>
      </c>
      <c r="F159" t="inlineStr">
        <is>
          <t>VÄSTRA GÖTALANDS LÄN</t>
        </is>
      </c>
      <c r="G159" t="inlineStr">
        <is>
          <t>SKÖVDE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45161</v>
      </c>
      <c r="E160" s="1" t="n">
        <v>46256</v>
      </c>
      <c r="F160" t="inlineStr">
        <is>
          <t>VÄSTRA GÖTALANDS LÄN</t>
        </is>
      </c>
      <c r="G160" t="inlineStr">
        <is>
          <t>SKÖVDE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46256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46256</v>
      </c>
      <c r="F162" t="inlineStr">
        <is>
          <t>VÄSTRA GÖTALANDS LÄN</t>
        </is>
      </c>
      <c r="G162" t="inlineStr">
        <is>
          <t>SKÖVDE</t>
        </is>
      </c>
      <c r="H162" t="inlineStr">
        <is>
          <t>Kommuner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46256</v>
      </c>
      <c r="F163" t="inlineStr">
        <is>
          <t>VÄSTRA GÖTALANDS LÄN</t>
        </is>
      </c>
      <c r="G163" t="inlineStr">
        <is>
          <t>SKÖVDE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67134-2021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44523</v>
      </c>
      <c r="E164" s="1" t="n">
        <v>46256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Sveaskog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45013</v>
      </c>
      <c r="E165" s="1" t="n">
        <v>46256</v>
      </c>
      <c r="F165" t="inlineStr">
        <is>
          <t>VÄSTRA GÖTALANDS LÄN</t>
        </is>
      </c>
      <c r="G165" t="inlineStr">
        <is>
          <t>SKÖVDE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45586</v>
      </c>
      <c r="E166" s="1" t="n">
        <v>46256</v>
      </c>
      <c r="F166" t="inlineStr">
        <is>
          <t>VÄSTRA GÖTALANDS LÄN</t>
        </is>
      </c>
      <c r="G166" t="inlineStr">
        <is>
          <t>SKÖVDE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12942-2024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45385</v>
      </c>
      <c r="E167" s="1" t="n">
        <v>46256</v>
      </c>
      <c r="F167" t="inlineStr">
        <is>
          <t>VÄSTRA GÖTALANDS LÄN</t>
        </is>
      </c>
      <c r="G167" t="inlineStr">
        <is>
          <t>SKÖVDE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46256</v>
      </c>
      <c r="F168" t="inlineStr">
        <is>
          <t>VÄSTRA GÖTALANDS LÄN</t>
        </is>
      </c>
      <c r="G168" t="inlineStr">
        <is>
          <t>SKÖVDE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46256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13669-2023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45006</v>
      </c>
      <c r="E170" s="1" t="n">
        <v>46256</v>
      </c>
      <c r="F170" t="inlineStr">
        <is>
          <t>VÄSTRA GÖTALANDS LÄN</t>
        </is>
      </c>
      <c r="G170" t="inlineStr">
        <is>
          <t>SKÖVDE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59366-2025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46256</v>
      </c>
      <c r="F171" t="inlineStr">
        <is>
          <t>VÄSTRA GÖTALANDS LÄN</t>
        </is>
      </c>
      <c r="G171" t="inlineStr">
        <is>
          <t>SKÖVDE</t>
        </is>
      </c>
      <c r="H171" t="inlineStr">
        <is>
          <t>Kommuner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34834-2022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46256</v>
      </c>
      <c r="F172" t="inlineStr">
        <is>
          <t>VÄSTRA GÖTALANDS LÄN</t>
        </is>
      </c>
      <c r="G172" t="inlineStr">
        <is>
          <t>SKÖVDE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46001</v>
      </c>
      <c r="E173" s="1" t="n">
        <v>46256</v>
      </c>
      <c r="F173" t="inlineStr">
        <is>
          <t>VÄSTRA GÖTALANDS LÄN</t>
        </is>
      </c>
      <c r="G173" t="inlineStr">
        <is>
          <t>SKÖVDE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46256</v>
      </c>
      <c r="F174" t="inlineStr">
        <is>
          <t>VÄSTRA GÖTALANDS LÄN</t>
        </is>
      </c>
      <c r="G174" t="inlineStr">
        <is>
          <t>SKÖVDE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46256</v>
      </c>
      <c r="F175" t="inlineStr">
        <is>
          <t>VÄSTRA GÖTALANDS LÄN</t>
        </is>
      </c>
      <c r="G175" t="inlineStr">
        <is>
          <t>SKÖVDE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46256</v>
      </c>
      <c r="F176" t="inlineStr">
        <is>
          <t>VÄSTRA GÖTALANDS LÄN</t>
        </is>
      </c>
      <c r="G176" t="inlineStr">
        <is>
          <t>SKÖVDE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46256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46256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46256</v>
      </c>
      <c r="F179" t="inlineStr">
        <is>
          <t>VÄSTRA GÖTALANDS LÄN</t>
        </is>
      </c>
      <c r="G179" t="inlineStr">
        <is>
          <t>SKÖVDE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62803-2025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46256</v>
      </c>
      <c r="F180" t="inlineStr">
        <is>
          <t>VÄSTRA GÖTALANDS LÄN</t>
        </is>
      </c>
      <c r="G180" t="inlineStr">
        <is>
          <t>SKÖVDE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46008</v>
      </c>
      <c r="E181" s="1" t="n">
        <v>46256</v>
      </c>
      <c r="F181" t="inlineStr">
        <is>
          <t>VÄSTRA GÖTALANDS LÄN</t>
        </is>
      </c>
      <c r="G181" t="inlineStr">
        <is>
          <t>SKÖVDE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46256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14624-2025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46256</v>
      </c>
      <c r="F183" t="inlineStr">
        <is>
          <t>VÄSTRA GÖTALANDS LÄN</t>
        </is>
      </c>
      <c r="G183" t="inlineStr">
        <is>
          <t>SKÖVDE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50829-2022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46256</v>
      </c>
      <c r="F184" t="inlineStr">
        <is>
          <t>VÄSTRA GÖTALANDS LÄN</t>
        </is>
      </c>
      <c r="G184" t="inlineStr">
        <is>
          <t>SKÖVDE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46017</v>
      </c>
      <c r="E185" s="1" t="n">
        <v>46256</v>
      </c>
      <c r="F185" t="inlineStr">
        <is>
          <t>VÄSTRA GÖTALANDS LÄN</t>
        </is>
      </c>
      <c r="G185" t="inlineStr">
        <is>
          <t>SKÖVDE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44599</v>
      </c>
      <c r="E186" s="1" t="n">
        <v>46256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Kyrkan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44750</v>
      </c>
      <c r="E187" s="1" t="n">
        <v>46256</v>
      </c>
      <c r="F187" t="inlineStr">
        <is>
          <t>VÄSTRA GÖTALANDS LÄN</t>
        </is>
      </c>
      <c r="G187" t="inlineStr">
        <is>
          <t>SKÖVDE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46256</v>
      </c>
      <c r="F188" t="inlineStr">
        <is>
          <t>VÄSTRA GÖTALANDS LÄN</t>
        </is>
      </c>
      <c r="G188" t="inlineStr">
        <is>
          <t>SKÖVDE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51886-2021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44462</v>
      </c>
      <c r="E189" s="1" t="n">
        <v>46256</v>
      </c>
      <c r="F189" t="inlineStr">
        <is>
          <t>VÄSTRA GÖTALANDS LÄN</t>
        </is>
      </c>
      <c r="G189" t="inlineStr">
        <is>
          <t>SKÖVDE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46256</v>
      </c>
      <c r="F190" t="inlineStr">
        <is>
          <t>VÄSTRA GÖTALANDS LÄN</t>
        </is>
      </c>
      <c r="G190" t="inlineStr">
        <is>
          <t>SKÖVDE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46256</v>
      </c>
      <c r="F191" t="inlineStr">
        <is>
          <t>VÄSTRA GÖTALANDS LÄN</t>
        </is>
      </c>
      <c r="G191" t="inlineStr">
        <is>
          <t>SKÖVDE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60588-2023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45259</v>
      </c>
      <c r="E192" s="1" t="n">
        <v>46256</v>
      </c>
      <c r="F192" t="inlineStr">
        <is>
          <t>VÄSTRA GÖTALANDS LÄN</t>
        </is>
      </c>
      <c r="G192" t="inlineStr">
        <is>
          <t>SKÖVDE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46256</v>
      </c>
      <c r="F193" t="inlineStr">
        <is>
          <t>VÄSTRA GÖTALANDS LÄN</t>
        </is>
      </c>
      <c r="G193" t="inlineStr">
        <is>
          <t>SKÖVDE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45314</v>
      </c>
      <c r="E194" s="1" t="n">
        <v>46256</v>
      </c>
      <c r="F194" t="inlineStr">
        <is>
          <t>VÄSTRA GÖTALANDS LÄN</t>
        </is>
      </c>
      <c r="G194" t="inlineStr">
        <is>
          <t>SKÖVDE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2901-2026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46038</v>
      </c>
      <c r="E195" s="1" t="n">
        <v>46256</v>
      </c>
      <c r="F195" t="inlineStr">
        <is>
          <t>VÄSTRA GÖTALANDS LÄN</t>
        </is>
      </c>
      <c r="G195" t="inlineStr">
        <is>
          <t>SKÖVDE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46256</v>
      </c>
      <c r="F196" t="inlineStr">
        <is>
          <t>VÄSTRA GÖTALANDS LÄN</t>
        </is>
      </c>
      <c r="G196" t="inlineStr">
        <is>
          <t>SKÖVDE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46051</v>
      </c>
      <c r="E197" s="1" t="n">
        <v>46256</v>
      </c>
      <c r="F197" t="inlineStr">
        <is>
          <t>VÄSTRA GÖTALANDS LÄN</t>
        </is>
      </c>
      <c r="G197" t="inlineStr">
        <is>
          <t>SKÖVDE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6092-2026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46052</v>
      </c>
      <c r="E198" s="1" t="n">
        <v>46256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46256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59893-2025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46256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63730-2025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46256</v>
      </c>
      <c r="F201" t="inlineStr">
        <is>
          <t>VÄSTRA GÖTALANDS LÄN</t>
        </is>
      </c>
      <c r="G201" t="inlineStr">
        <is>
          <t>SKÖVDE</t>
        </is>
      </c>
      <c r="H201" t="inlineStr">
        <is>
          <t>Övriga statliga verk och myndigheter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46256</v>
      </c>
      <c r="F202" t="inlineStr">
        <is>
          <t>VÄSTRA GÖTALANDS LÄN</t>
        </is>
      </c>
      <c r="G202" t="inlineStr">
        <is>
          <t>SKÖVDE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46010</v>
      </c>
      <c r="E203" s="1" t="n">
        <v>46256</v>
      </c>
      <c r="F203" t="inlineStr">
        <is>
          <t>VÄSTRA GÖTALANDS LÄN</t>
        </is>
      </c>
      <c r="G203" t="inlineStr">
        <is>
          <t>SKÖVDE</t>
        </is>
      </c>
      <c r="H203" t="inlineStr">
        <is>
          <t>Övriga statliga verk och myndigheter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46174</v>
      </c>
      <c r="E204" s="1" t="n">
        <v>46256</v>
      </c>
      <c r="F204" t="inlineStr">
        <is>
          <t>VÄSTRA GÖTALANDS LÄN</t>
        </is>
      </c>
      <c r="G204" t="inlineStr">
        <is>
          <t>SKÖVDE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46256</v>
      </c>
      <c r="F205" t="inlineStr">
        <is>
          <t>VÄSTRA GÖTALANDS LÄN</t>
        </is>
      </c>
      <c r="G205" t="inlineStr">
        <is>
          <t>SKÖVDE</t>
        </is>
      </c>
      <c r="H205" t="inlineStr">
        <is>
          <t>Övriga statliga verk och myndigheter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46009</v>
      </c>
      <c r="E206" s="1" t="n">
        <v>46256</v>
      </c>
      <c r="F206" t="inlineStr">
        <is>
          <t>VÄSTRA GÖTALANDS LÄN</t>
        </is>
      </c>
      <c r="G206" t="inlineStr">
        <is>
          <t>SKÖVDE</t>
        </is>
      </c>
      <c r="H206" t="inlineStr">
        <is>
          <t>Övriga statliga verk och myndigheter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46256</v>
      </c>
      <c r="F207" t="inlineStr">
        <is>
          <t>VÄSTRA GÖTALANDS LÄN</t>
        </is>
      </c>
      <c r="G207" t="inlineStr">
        <is>
          <t>SKÖVDE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40205-2022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46256</v>
      </c>
      <c r="F208" t="inlineStr">
        <is>
          <t>VÄSTRA GÖTALANDS LÄN</t>
        </is>
      </c>
      <c r="G208" t="inlineStr">
        <is>
          <t>SKÖVDE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45299</v>
      </c>
      <c r="E209" s="1" t="n">
        <v>46256</v>
      </c>
      <c r="F209" t="inlineStr">
        <is>
          <t>VÄSTRA GÖTALANDS LÄN</t>
        </is>
      </c>
      <c r="G209" t="inlineStr">
        <is>
          <t>SKÖVDE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46256</v>
      </c>
      <c r="F210" t="inlineStr">
        <is>
          <t>VÄSTRA GÖTALANDS LÄN</t>
        </is>
      </c>
      <c r="G210" t="inlineStr">
        <is>
          <t>SKÖVDE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26733-2023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46256</v>
      </c>
      <c r="F211" t="inlineStr">
        <is>
          <t>VÄSTRA GÖTALANDS LÄN</t>
        </is>
      </c>
      <c r="G211" t="inlineStr">
        <is>
          <t>SKÖVDE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46256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46256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48225-2024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45590</v>
      </c>
      <c r="E214" s="1" t="n">
        <v>46256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46256</v>
      </c>
      <c r="F215" t="inlineStr">
        <is>
          <t>VÄSTRA GÖTALANDS LÄN</t>
        </is>
      </c>
      <c r="G215" t="inlineStr">
        <is>
          <t>SKÖVDE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26914-2026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46185</v>
      </c>
      <c r="E216" s="1" t="n">
        <v>46256</v>
      </c>
      <c r="F216" t="inlineStr">
        <is>
          <t>VÄSTRA GÖTALANDS LÄN</t>
        </is>
      </c>
      <c r="G216" t="inlineStr">
        <is>
          <t>SKÖVDE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45082</v>
      </c>
      <c r="E217" s="1" t="n">
        <v>46256</v>
      </c>
      <c r="F217" t="inlineStr">
        <is>
          <t>VÄSTRA GÖTALANDS LÄN</t>
        </is>
      </c>
      <c r="G217" t="inlineStr">
        <is>
          <t>SKÖVDE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45687</v>
      </c>
      <c r="E218" s="1" t="n">
        <v>46256</v>
      </c>
      <c r="F218" t="inlineStr">
        <is>
          <t>VÄSTRA GÖTALANDS LÄN</t>
        </is>
      </c>
      <c r="G218" t="inlineStr">
        <is>
          <t>SKÖVDE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46256</v>
      </c>
      <c r="F219" t="inlineStr">
        <is>
          <t>VÄSTRA GÖTALANDS LÄN</t>
        </is>
      </c>
      <c r="G219" t="inlineStr">
        <is>
          <t>SKÖVDE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34211-2023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45138</v>
      </c>
      <c r="E220" s="1" t="n">
        <v>46256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46256</v>
      </c>
      <c r="F221" t="inlineStr">
        <is>
          <t>VÄSTRA GÖTALANDS LÄN</t>
        </is>
      </c>
      <c r="G221" t="inlineStr">
        <is>
          <t>SKÖVDE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45134</v>
      </c>
      <c r="E222" s="1" t="n">
        <v>46256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48336-2024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45590</v>
      </c>
      <c r="E223" s="1" t="n">
        <v>46256</v>
      </c>
      <c r="F223" t="inlineStr">
        <is>
          <t>VÄSTRA GÖTALANDS LÄN</t>
        </is>
      </c>
      <c r="G223" t="inlineStr">
        <is>
          <t>SKÖVDE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45418</v>
      </c>
      <c r="E224" s="1" t="n">
        <v>46256</v>
      </c>
      <c r="F224" t="inlineStr">
        <is>
          <t>VÄSTRA GÖTALANDS LÄN</t>
        </is>
      </c>
      <c r="G224" t="inlineStr">
        <is>
          <t>SKÖVDE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46129</v>
      </c>
      <c r="E225" s="1" t="n">
        <v>46256</v>
      </c>
      <c r="F225" t="inlineStr">
        <is>
          <t>VÄSTRA GÖTALANDS LÄN</t>
        </is>
      </c>
      <c r="G225" t="inlineStr">
        <is>
          <t>SKÖVDE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29177-2026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46256</v>
      </c>
      <c r="F226" t="inlineStr">
        <is>
          <t>VÄSTRA GÖTALANDS LÄN</t>
        </is>
      </c>
      <c r="G226" t="inlineStr">
        <is>
          <t>SKÖVDE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45301</v>
      </c>
      <c r="E227" s="1" t="n">
        <v>46256</v>
      </c>
      <c r="F227" t="inlineStr">
        <is>
          <t>VÄSTRA GÖTALANDS LÄN</t>
        </is>
      </c>
      <c r="G227" t="inlineStr">
        <is>
          <t>SKÖVDE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46256</v>
      </c>
      <c r="F228" t="inlineStr">
        <is>
          <t>VÄSTRA GÖTALANDS LÄN</t>
        </is>
      </c>
      <c r="G228" t="inlineStr">
        <is>
          <t>SKÖVDE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45685</v>
      </c>
      <c r="E229" s="1" t="n">
        <v>46256</v>
      </c>
      <c r="F229" t="inlineStr">
        <is>
          <t>VÄSTRA GÖTALANDS LÄN</t>
        </is>
      </c>
      <c r="G229" t="inlineStr">
        <is>
          <t>SKÖVDE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45847</v>
      </c>
      <c r="E230" s="1" t="n">
        <v>46256</v>
      </c>
      <c r="F230" t="inlineStr">
        <is>
          <t>VÄSTRA GÖTALANDS LÄN</t>
        </is>
      </c>
      <c r="G230" t="inlineStr">
        <is>
          <t>SKÖVDE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46256</v>
      </c>
      <c r="F231" t="inlineStr">
        <is>
          <t>VÄSTRA GÖTALANDS LÄN</t>
        </is>
      </c>
      <c r="G231" t="inlineStr">
        <is>
          <t>SKÖVDE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46256</v>
      </c>
      <c r="F232" t="inlineStr">
        <is>
          <t>VÄSTRA GÖTALANDS LÄN</t>
        </is>
      </c>
      <c r="G232" t="inlineStr">
        <is>
          <t>SKÖVDE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46256</v>
      </c>
      <c r="F233" t="inlineStr">
        <is>
          <t>VÄSTRA GÖTALANDS LÄN</t>
        </is>
      </c>
      <c r="G233" t="inlineStr">
        <is>
          <t>SKÖVDE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46256</v>
      </c>
      <c r="F234" t="inlineStr">
        <is>
          <t>VÄSTRA GÖTALANDS LÄN</t>
        </is>
      </c>
      <c r="G234" t="inlineStr">
        <is>
          <t>SKÖVDE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46256</v>
      </c>
      <c r="F235" t="inlineStr">
        <is>
          <t>VÄSTRA GÖTALANDS LÄN</t>
        </is>
      </c>
      <c r="G235" t="inlineStr">
        <is>
          <t>SKÖVDE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46256</v>
      </c>
      <c r="F236" t="inlineStr">
        <is>
          <t>VÄSTRA GÖTALANDS LÄN</t>
        </is>
      </c>
      <c r="G236" t="inlineStr">
        <is>
          <t>SKÖVDE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11917-2024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45376</v>
      </c>
      <c r="E237" s="1" t="n">
        <v>46256</v>
      </c>
      <c r="F237" t="inlineStr">
        <is>
          <t>VÄSTRA GÖTALANDS LÄN</t>
        </is>
      </c>
      <c r="G237" t="inlineStr">
        <is>
          <t>SKÖVDE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46256</v>
      </c>
      <c r="F238" t="inlineStr">
        <is>
          <t>VÄSTRA GÖTALANDS LÄN</t>
        </is>
      </c>
      <c r="G238" t="inlineStr">
        <is>
          <t>SKÖVDE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44825</v>
      </c>
      <c r="E239" s="1" t="n">
        <v>46256</v>
      </c>
      <c r="F239" t="inlineStr">
        <is>
          <t>VÄSTRA GÖTALANDS LÄN</t>
        </is>
      </c>
      <c r="G239" t="inlineStr">
        <is>
          <t>SKÖVDE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46256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44804</v>
      </c>
      <c r="E241" s="1" t="n">
        <v>46256</v>
      </c>
      <c r="F241" t="inlineStr">
        <is>
          <t>VÄSTRA GÖTALANDS LÄN</t>
        </is>
      </c>
      <c r="G241" t="inlineStr">
        <is>
          <t>SKÖVDE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46256</v>
      </c>
      <c r="F242" t="inlineStr">
        <is>
          <t>VÄSTRA GÖTALANDS LÄN</t>
        </is>
      </c>
      <c r="G242" t="inlineStr">
        <is>
          <t>SKÖVDE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46256</v>
      </c>
      <c r="F243" t="inlineStr">
        <is>
          <t>VÄSTRA GÖTALANDS LÄN</t>
        </is>
      </c>
      <c r="G243" t="inlineStr">
        <is>
          <t>SKÖVDE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21687-2026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46149</v>
      </c>
      <c r="E244" s="1" t="n">
        <v>46256</v>
      </c>
      <c r="F244" t="inlineStr">
        <is>
          <t>VÄSTRA GÖTALANDS LÄN</t>
        </is>
      </c>
      <c r="G244" t="inlineStr">
        <is>
          <t>SKÖVDE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45721</v>
      </c>
      <c r="E245" s="1" t="n">
        <v>46256</v>
      </c>
      <c r="F245" t="inlineStr">
        <is>
          <t>VÄSTRA GÖTALANDS LÄN</t>
        </is>
      </c>
      <c r="G245" t="inlineStr">
        <is>
          <t>SKÖVDE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46256</v>
      </c>
      <c r="F246" t="inlineStr">
        <is>
          <t>VÄSTRA GÖTALANDS LÄN</t>
        </is>
      </c>
      <c r="G246" t="inlineStr">
        <is>
          <t>SKÖVDE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45737</v>
      </c>
      <c r="E247" s="1" t="n">
        <v>46256</v>
      </c>
      <c r="F247" t="inlineStr">
        <is>
          <t>VÄSTRA GÖTALANDS LÄN</t>
        </is>
      </c>
      <c r="G247" t="inlineStr">
        <is>
          <t>SKÖVDE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46256</v>
      </c>
      <c r="F248" t="inlineStr">
        <is>
          <t>VÄSTRA GÖTALANDS LÄN</t>
        </is>
      </c>
      <c r="G248" t="inlineStr">
        <is>
          <t>SKÖVDE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20602-2025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45775</v>
      </c>
      <c r="E249" s="1" t="n">
        <v>46256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46256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62269-2023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46256</v>
      </c>
      <c r="F251" t="inlineStr">
        <is>
          <t>VÄSTRA GÖTALANDS LÄN</t>
        </is>
      </c>
      <c r="G251" t="inlineStr">
        <is>
          <t>SKÖVDE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45715</v>
      </c>
      <c r="E252" s="1" t="n">
        <v>46256</v>
      </c>
      <c r="F252" t="inlineStr">
        <is>
          <t>VÄSTRA GÖTALANDS LÄN</t>
        </is>
      </c>
      <c r="G252" t="inlineStr">
        <is>
          <t>SKÖVDE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14969-2025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46256</v>
      </c>
      <c r="F253" t="inlineStr">
        <is>
          <t>VÄSTRA GÖTALANDS LÄN</t>
        </is>
      </c>
      <c r="G253" t="inlineStr">
        <is>
          <t>SKÖVDE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45710</v>
      </c>
      <c r="E254" s="1" t="n">
        <v>46256</v>
      </c>
      <c r="F254" t="inlineStr">
        <is>
          <t>VÄSTRA GÖTALANDS LÄN</t>
        </is>
      </c>
      <c r="G254" t="inlineStr">
        <is>
          <t>SKÖVDE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46256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5658-2024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45334</v>
      </c>
      <c r="E256" s="1" t="n">
        <v>46256</v>
      </c>
      <c r="F256" t="inlineStr">
        <is>
          <t>VÄSTRA GÖTALANDS LÄN</t>
        </is>
      </c>
      <c r="G256" t="inlineStr">
        <is>
          <t>SKÖVDE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35069-2023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46256</v>
      </c>
      <c r="F257" t="inlineStr">
        <is>
          <t>VÄSTRA GÖTALANDS LÄN</t>
        </is>
      </c>
      <c r="G257" t="inlineStr">
        <is>
          <t>SKÖVDE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12972-2025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45734</v>
      </c>
      <c r="E258" s="1" t="n">
        <v>46256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45796</v>
      </c>
      <c r="E259" s="1" t="n">
        <v>46256</v>
      </c>
      <c r="F259" t="inlineStr">
        <is>
          <t>VÄSTRA GÖTALANDS LÄN</t>
        </is>
      </c>
      <c r="G259" t="inlineStr">
        <is>
          <t>SKÖVDE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46256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46256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2026-08-22T01:48:50Z</dcterms:created>
  <dcterms:modified xmlns:dcterms="http://purl.org/dc/terms/" xmlns:xsi="http://www.w3.org/2001/XMLSchema-instance" xsi:type="dcterms:W3CDTF">2026-08-22T01:48:51Z</dcterms:modified>
</cp:coreProperties>
</file>