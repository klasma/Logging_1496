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46281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t="n">
        <v>11</v>
      </c>
      <c r="V5" s="2" t="inlineStr">
        <is>
          <t>Ask
Tistelsnyltrot
Klasefibbla
Sommarfibbla
Svinrot
Tvåblad</t>
        </is>
      </c>
      <c r="W5">
        <f>HYPERLINK("https://klasma.github.io/Logging_1496/artfynd/A 60176-2021 artfynd.xlsx", "A 60176-2021")</f>
        <v/>
      </c>
      <c r="X5">
        <f>HYPERLINK("https://klasma.github.io/Logging_1496/kartor/A 60176-2021 karta.png", "A 60176-2021")</f>
        <v/>
      </c>
      <c r="Y5">
        <f>HYPERLINK("https://klasma.github.io/Logging_1496/kartor_geotiff/A 60176-2021 georefererad karta.tif", "A 60176-2021")</f>
        <v/>
      </c>
      <c r="AA5">
        <f>HYPERLINK("https://klasma.github.io/Logging_1496/klagomål/A 60176-2021 FSC-klagomål.docx", "A 60176-2021")</f>
        <v/>
      </c>
      <c r="AB5">
        <f>HYPERLINK("https://klasma.github.io/Logging_1496/klagomålsmail/A 60176-2021 FSC-klagomål mail.docx", "A 60176-2021")</f>
        <v/>
      </c>
      <c r="AC5">
        <f>HYPERLINK("https://klasma.github.io/Logging_1496/tillsyn/A 60176-2021 tillsynsbegäran.docx", "A 60176-2021")</f>
        <v/>
      </c>
      <c r="AD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46281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t="n">
        <v>2</v>
      </c>
      <c r="V6" s="2" t="inlineStr">
        <is>
          <t>Almrostöra
Skogsalm
Hasselticka
Nästrot
Rävticka
Havsörn</t>
        </is>
      </c>
      <c r="W6">
        <f>HYPERLINK("https://klasma.github.io/Logging_1496/artfynd/A 14860-2025 artfynd.xlsx", "A 14860-2025")</f>
        <v/>
      </c>
      <c r="X6">
        <f>HYPERLINK("https://klasma.github.io/Logging_1496/kartor/A 14860-2025 karta.png", "A 14860-2025")</f>
        <v/>
      </c>
      <c r="Y6">
        <f>HYPERLINK("https://klasma.github.io/Logging_1496/kartor_geotiff/A 14860-2025 georefererad karta.tif", "A 14860-2025")</f>
        <v/>
      </c>
      <c r="AA6">
        <f>HYPERLINK("https://klasma.github.io/Logging_1496/klagomål/A 14860-2025 FSC-klagomål.docx", "A 14860-2025")</f>
        <v/>
      </c>
      <c r="AB6">
        <f>HYPERLINK("https://klasma.github.io/Logging_1496/klagomålsmail/A 14860-2025 FSC-klagomål mail.docx", "A 14860-2025")</f>
        <v/>
      </c>
      <c r="AC6">
        <f>HYPERLINK("https://klasma.github.io/Logging_1496/tillsyn/A 14860-2025 tillsynsbegäran.docx", "A 14860-2025")</f>
        <v/>
      </c>
      <c r="AD6">
        <f>HYPERLINK("https://klasma.github.io/Logging_1496/tillsynsmail/A 14860-2025 tillsynsbegäran mail.docx", "A 14860-2025")</f>
        <v/>
      </c>
      <c r="AE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46281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46281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46281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46281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46281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13517-2024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45387</v>
      </c>
      <c r="E12" s="1" t="n">
        <v>46281</v>
      </c>
      <c r="F12" t="inlineStr">
        <is>
          <t>VÄSTRA GÖTALANDS LÄN</t>
        </is>
      </c>
      <c r="G12" t="inlineStr">
        <is>
          <t>SKÖVDE</t>
        </is>
      </c>
      <c r="I12" t="n">
        <v>4.4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9</v>
      </c>
      <c r="U12" t="n">
        <v>9</v>
      </c>
      <c r="V12" s="2" t="inlineStr">
        <is>
          <t>Slåttergubbe
Jordtistel
Klasefibbla
Grönvit nattviol</t>
        </is>
      </c>
      <c r="W12">
        <f>HYPERLINK("https://klasma.github.io/Logging_1496/artfynd/A 13517-2024 artfynd.xlsx", "A 13517-2024")</f>
        <v/>
      </c>
      <c r="X12">
        <f>HYPERLINK("https://klasma.github.io/Logging_1496/kartor/A 13517-2024 karta.png", "A 13517-2024")</f>
        <v/>
      </c>
      <c r="Y12">
        <f>HYPERLINK("https://klasma.github.io/Logging_1496/kartor_geotiff/A 13517-2024 georefererad karta.tif", "A 13517-2024")</f>
        <v/>
      </c>
      <c r="AA12">
        <f>HYPERLINK("https://klasma.github.io/Logging_1496/klagomål/A 13517-2024 FSC-klagomål.docx", "A 13517-2024")</f>
        <v/>
      </c>
      <c r="AB12">
        <f>HYPERLINK("https://klasma.github.io/Logging_1496/klagomålsmail/A 13517-2024 FSC-klagomål mail.docx", "A 13517-2024")</f>
        <v/>
      </c>
      <c r="AC12">
        <f>HYPERLINK("https://klasma.github.io/Logging_1496/tillsyn/A 13517-2024 tillsynsbegäran.docx", "A 13517-2024")</f>
        <v/>
      </c>
      <c r="AD12">
        <f>HYPERLINK("https://klasma.github.io/Logging_1496/tillsynsmail/A 13517-2024 tillsynsbegäran mail.docx", "A 13517-2024")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46281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46281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46281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46281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46281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46281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46281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39092-2022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44817</v>
      </c>
      <c r="E20" s="1" t="n">
        <v>46281</v>
      </c>
      <c r="F20" t="inlineStr">
        <is>
          <t>VÄSTRA GÖTALANDS LÄN</t>
        </is>
      </c>
      <c r="G20" t="inlineStr">
        <is>
          <t>SKÖVDE</t>
        </is>
      </c>
      <c r="I20" t="n">
        <v>3.1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Ask
Sårläka
Strutbräken</t>
        </is>
      </c>
      <c r="W20">
        <f>HYPERLINK("https://klasma.github.io/Logging_1496/artfynd/A 39092-2022 artfynd.xlsx", "A 39092-2022")</f>
        <v/>
      </c>
      <c r="X20">
        <f>HYPERLINK("https://klasma.github.io/Logging_1496/kartor/A 39092-2022 karta.png", "A 39092-2022")</f>
        <v/>
      </c>
      <c r="Y20">
        <f>HYPERLINK("https://klasma.github.io/Logging_1496/kartor_geotiff/A 39092-2022 georefererad karta.tif", "A 39092-2022")</f>
        <v/>
      </c>
      <c r="AA20">
        <f>HYPERLINK("https://klasma.github.io/Logging_1496/klagomål/A 39092-2022 FSC-klagomål.docx", "A 39092-2022")</f>
        <v/>
      </c>
      <c r="AB20">
        <f>HYPERLINK("https://klasma.github.io/Logging_1496/klagomålsmail/A 39092-2022 FSC-klagomål mail.docx", "A 39092-2022")</f>
        <v/>
      </c>
      <c r="AC20">
        <f>HYPERLINK("https://klasma.github.io/Logging_1496/tillsyn/A 39092-2022 tillsynsbegäran.docx", "A 39092-2022")</f>
        <v/>
      </c>
      <c r="AD20">
        <f>HYPERLINK("https://klasma.github.io/Logging_1496/tillsynsmail/A 39092-2022 tillsynsbegäran mail.docx", "A 39092-2022")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46281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46281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46281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46281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46281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29335-2025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46281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0.7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Svinrot
Fläcknycklar
Lopplummer (aggregat)</t>
        </is>
      </c>
      <c r="W26">
        <f>HYPERLINK("https://klasma.github.io/Logging_1496/artfynd/A 29335-2025 artfynd.xlsx", "A 29335-2025")</f>
        <v/>
      </c>
      <c r="X26">
        <f>HYPERLINK("https://klasma.github.io/Logging_1496/kartor/A 29335-2025 karta.png", "A 29335-2025")</f>
        <v/>
      </c>
      <c r="Y26">
        <f>HYPERLINK("https://klasma.github.io/Logging_1496/kartor_geotiff/A 29335-2025 georefererad karta.tif", "A 29335-2025")</f>
        <v/>
      </c>
      <c r="AA26">
        <f>HYPERLINK("https://klasma.github.io/Logging_1496/klagomål/A 29335-2025 FSC-klagomål.docx", "A 29335-2025")</f>
        <v/>
      </c>
      <c r="AB26">
        <f>HYPERLINK("https://klasma.github.io/Logging_1496/klagomålsmail/A 29335-2025 FSC-klagomål mail.docx", "A 29335-2025")</f>
        <v/>
      </c>
      <c r="AC26">
        <f>HYPERLINK("https://klasma.github.io/Logging_1496/tillsyn/A 29335-2025 tillsynsbegäran.docx", "A 29335-2025")</f>
        <v/>
      </c>
      <c r="AD26">
        <f>HYPERLINK("https://klasma.github.io/Logging_1496/tillsynsmail/A 29335-2025 tillsynsbegäran mail.docx", "A 29335-2025")</f>
        <v/>
      </c>
    </row>
    <row r="27" ht="15" customHeight="1">
      <c r="A27" t="inlineStr">
        <is>
          <t>A 42017-2025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46281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Mattlummer</t>
        </is>
      </c>
      <c r="W27">
        <f>HYPERLINK("https://klasma.github.io/Logging_1496/artfynd/A 42017-2025 artfynd.xlsx", "A 42017-2025")</f>
        <v/>
      </c>
      <c r="X27">
        <f>HYPERLINK("https://klasma.github.io/Logging_1496/kartor/A 42017-2025 karta.png", "A 42017-2025")</f>
        <v/>
      </c>
      <c r="Y27">
        <f>HYPERLINK("https://klasma.github.io/Logging_1496/kartor_geotiff/A 42017-2025 georefererad karta.tif", "A 42017-2025")</f>
        <v/>
      </c>
      <c r="AA27">
        <f>HYPERLINK("https://klasma.github.io/Logging_1496/klagomål/A 42017-2025 FSC-klagomål.docx", "A 42017-2025")</f>
        <v/>
      </c>
      <c r="AB27">
        <f>HYPERLINK("https://klasma.github.io/Logging_1496/klagomålsmail/A 42017-2025 FSC-klagomål mail.docx", "A 42017-2025")</f>
        <v/>
      </c>
      <c r="AC27">
        <f>HYPERLINK("https://klasma.github.io/Logging_1496/tillsyn/A 42017-2025 tillsynsbegäran.docx", "A 42017-2025")</f>
        <v/>
      </c>
      <c r="AD27">
        <f>HYPERLINK("https://klasma.github.io/Logging_1496/tillsynsmail/A 42017-2025 tillsynsbegäran mail.docx", "A 42017-2025")</f>
        <v/>
      </c>
    </row>
    <row r="28" ht="15" customHeight="1">
      <c r="A28" t="inlineStr">
        <is>
          <t>A 24996-2025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46281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Granbronssopp
Fjällig taggsvamp s.str.</t>
        </is>
      </c>
      <c r="W28">
        <f>HYPERLINK("https://klasma.github.io/Logging_1496/artfynd/A 24996-2025 artfynd.xlsx", "A 24996-2025")</f>
        <v/>
      </c>
      <c r="X28">
        <f>HYPERLINK("https://klasma.github.io/Logging_1496/kartor/A 24996-2025 karta.png", "A 24996-2025")</f>
        <v/>
      </c>
      <c r="Y28">
        <f>HYPERLINK("https://klasma.github.io/Logging_1496/kartor_geotiff/A 24996-2025 georefererad karta.tif", "A 24996-2025")</f>
        <v/>
      </c>
      <c r="AA28">
        <f>HYPERLINK("https://klasma.github.io/Logging_1496/klagomål/A 24996-2025 FSC-klagomål.docx", "A 24996-2025")</f>
        <v/>
      </c>
      <c r="AB28">
        <f>HYPERLINK("https://klasma.github.io/Logging_1496/klagomålsmail/A 24996-2025 FSC-klagomål mail.docx", "A 24996-2025")</f>
        <v/>
      </c>
      <c r="AC28">
        <f>HYPERLINK("https://klasma.github.io/Logging_1496/tillsyn/A 24996-2025 tillsynsbegäran.docx", "A 24996-2025")</f>
        <v/>
      </c>
      <c r="AD28">
        <f>HYPERLINK("https://klasma.github.io/Logging_1496/tillsynsmail/A 24996-2025 tillsynsbegäran mail.docx", "A 24996-2025")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46281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46281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Skogsbräsma
Fläcknycklar</t>
        </is>
      </c>
      <c r="W30">
        <f>HYPERLINK("https://klasma.github.io/Logging_1496/artfynd/A 60172-2021 artfynd.xlsx", "A 60172-2021")</f>
        <v/>
      </c>
      <c r="X30">
        <f>HYPERLINK("https://klasma.github.io/Logging_1496/kartor/A 60172-2021 karta.png", "A 60172-2021")</f>
        <v/>
      </c>
      <c r="Y30">
        <f>HYPERLINK("https://klasma.github.io/Logging_1496/kartor_geotiff/A 60172-2021 georefererad karta.tif", "A 60172-2021")</f>
        <v/>
      </c>
      <c r="AA30">
        <f>HYPERLINK("https://klasma.github.io/Logging_1496/klagomål/A 60172-2021 FSC-klagomål.docx", "A 60172-2021")</f>
        <v/>
      </c>
      <c r="AB30">
        <f>HYPERLINK("https://klasma.github.io/Logging_1496/klagomålsmail/A 60172-2021 FSC-klagomål mail.docx", "A 60172-2021")</f>
        <v/>
      </c>
      <c r="AC30">
        <f>HYPERLINK("https://klasma.github.io/Logging_1496/tillsyn/A 60172-2021 tillsynsbegäran.docx", "A 60172-2021")</f>
        <v/>
      </c>
      <c r="AD30">
        <f>HYPERLINK("https://klasma.github.io/Logging_1496/tillsynsmail/A 60172-2021 tillsynsbegäran mail.docx", "A 60172-2021")</f>
        <v/>
      </c>
    </row>
    <row r="31" ht="15" customHeight="1">
      <c r="A31" t="inlineStr">
        <is>
          <t>A 29222-2022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46281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Lundbräsma
Strutbräken</t>
        </is>
      </c>
      <c r="W31">
        <f>HYPERLINK("https://klasma.github.io/Logging_1496/artfynd/A 29222-2022 artfynd.xlsx", "A 29222-2022")</f>
        <v/>
      </c>
      <c r="X31">
        <f>HYPERLINK("https://klasma.github.io/Logging_1496/kartor/A 29222-2022 karta.png", "A 29222-2022")</f>
        <v/>
      </c>
      <c r="Y31">
        <f>HYPERLINK("https://klasma.github.io/Logging_1496/kartor_geotiff/A 29222-2022 georefererad karta.tif", "A 29222-2022")</f>
        <v/>
      </c>
      <c r="AA31">
        <f>HYPERLINK("https://klasma.github.io/Logging_1496/klagomål/A 29222-2022 FSC-klagomål.docx", "A 29222-2022")</f>
        <v/>
      </c>
      <c r="AB31">
        <f>HYPERLINK("https://klasma.github.io/Logging_1496/klagomålsmail/A 29222-2022 FSC-klagomål mail.docx", "A 29222-2022")</f>
        <v/>
      </c>
      <c r="AC31">
        <f>HYPERLINK("https://klasma.github.io/Logging_1496/tillsyn/A 29222-2022 tillsynsbegäran.docx", "A 29222-2022")</f>
        <v/>
      </c>
      <c r="AD31">
        <f>HYPERLINK("https://klasma.github.io/Logging_1496/tillsynsmail/A 29222-2022 tillsynsbegäran mail.docx", "A 29222-2022")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46281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46281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46281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58467-2024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45635</v>
      </c>
      <c r="E35" s="1" t="n">
        <v>46281</v>
      </c>
      <c r="F35" t="inlineStr">
        <is>
          <t>VÄSTRA GÖTALANDS LÄN</t>
        </is>
      </c>
      <c r="G35" t="inlineStr">
        <is>
          <t>SKÖVDE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Sommarfibbla
Mattlummer</t>
        </is>
      </c>
      <c r="W35">
        <f>HYPERLINK("https://klasma.github.io/Logging_1496/artfynd/A 58467-2024 artfynd.xlsx", "A 58467-2024")</f>
        <v/>
      </c>
      <c r="X35">
        <f>HYPERLINK("https://klasma.github.io/Logging_1496/kartor/A 58467-2024 karta.png", "A 58467-2024")</f>
        <v/>
      </c>
      <c r="Y35">
        <f>HYPERLINK("https://klasma.github.io/Logging_1496/kartor_geotiff/A 58467-2024 georefererad karta.tif", "A 58467-2024")</f>
        <v/>
      </c>
      <c r="AA35">
        <f>HYPERLINK("https://klasma.github.io/Logging_1496/klagomål/A 58467-2024 FSC-klagomål.docx", "A 58467-2024")</f>
        <v/>
      </c>
      <c r="AB35">
        <f>HYPERLINK("https://klasma.github.io/Logging_1496/klagomålsmail/A 58467-2024 FSC-klagomål mail.docx", "A 58467-2024")</f>
        <v/>
      </c>
      <c r="AC35">
        <f>HYPERLINK("https://klasma.github.io/Logging_1496/tillsyn/A 58467-2024 tillsynsbegäran.docx", "A 58467-2024")</f>
        <v/>
      </c>
      <c r="AD35">
        <f>HYPERLINK("https://klasma.github.io/Logging_1496/tillsynsmail/A 58467-2024 tillsynsbegäran mail.docx", "A 58467-2024")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46281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46281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25093-2025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45800</v>
      </c>
      <c r="E38" s="1" t="n">
        <v>46281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Ask
Skogsalm</t>
        </is>
      </c>
      <c r="W38">
        <f>HYPERLINK("https://klasma.github.io/Logging_1496/artfynd/A 25093-2025 artfynd.xlsx", "A 25093-2025")</f>
        <v/>
      </c>
      <c r="X38">
        <f>HYPERLINK("https://klasma.github.io/Logging_1496/kartor/A 25093-2025 karta.png", "A 25093-2025")</f>
        <v/>
      </c>
      <c r="Y38">
        <f>HYPERLINK("https://klasma.github.io/Logging_1496/kartor_geotiff/A 25093-2025 georefererad karta.tif", "A 25093-2025")</f>
        <v/>
      </c>
      <c r="AA38">
        <f>HYPERLINK("https://klasma.github.io/Logging_1496/klagomål/A 25093-2025 FSC-klagomål.docx", "A 25093-2025")</f>
        <v/>
      </c>
      <c r="AB38">
        <f>HYPERLINK("https://klasma.github.io/Logging_1496/klagomålsmail/A 25093-2025 FSC-klagomål mail.docx", "A 25093-2025")</f>
        <v/>
      </c>
      <c r="AC38">
        <f>HYPERLINK("https://klasma.github.io/Logging_1496/tillsyn/A 25093-2025 tillsynsbegäran.docx", "A 25093-2025")</f>
        <v/>
      </c>
      <c r="AD38">
        <f>HYPERLINK("https://klasma.github.io/Logging_1496/tillsynsmail/A 25093-2025 tillsynsbegäran mail.docx", "A 25093-2025")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46281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46281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46281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52377-2023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45224</v>
      </c>
      <c r="E42" s="1" t="n">
        <v>46281</v>
      </c>
      <c r="F42" t="inlineStr">
        <is>
          <t>VÄSTRA GÖTALANDS LÄN</t>
        </is>
      </c>
      <c r="G42" t="inlineStr">
        <is>
          <t>SKÖVDE</t>
        </is>
      </c>
      <c r="I42" t="n">
        <v>0.7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Kransrams</t>
        </is>
      </c>
      <c r="W42">
        <f>HYPERLINK("https://klasma.github.io/Logging_1496/artfynd/A 52377-2023 artfynd.xlsx", "A 52377-2023")</f>
        <v/>
      </c>
      <c r="X42">
        <f>HYPERLINK("https://klasma.github.io/Logging_1496/kartor/A 52377-2023 karta.png", "A 52377-2023")</f>
        <v/>
      </c>
      <c r="Y42">
        <f>HYPERLINK("https://klasma.github.io/Logging_1496/kartor_geotiff/A 52377-2023 georefererad karta.tif", "A 52377-2023")</f>
        <v/>
      </c>
      <c r="AA42">
        <f>HYPERLINK("https://klasma.github.io/Logging_1496/klagomål/A 52377-2023 FSC-klagomål.docx", "A 52377-2023")</f>
        <v/>
      </c>
      <c r="AB42">
        <f>HYPERLINK("https://klasma.github.io/Logging_1496/klagomålsmail/A 52377-2023 FSC-klagomål mail.docx", "A 52377-2023")</f>
        <v/>
      </c>
      <c r="AC42">
        <f>HYPERLINK("https://klasma.github.io/Logging_1496/tillsyn/A 52377-2023 tillsynsbegäran.docx", "A 52377-2023")</f>
        <v/>
      </c>
      <c r="AD42">
        <f>HYPERLINK("https://klasma.github.io/Logging_1496/tillsynsmail/A 52377-2023 tillsynsbegäran mail.docx", "A 52377-2023")</f>
        <v/>
      </c>
    </row>
    <row r="43" ht="15" customHeight="1">
      <c r="A43" t="inlineStr">
        <is>
          <t>A 47869-2025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45932</v>
      </c>
      <c r="E43" s="1" t="n">
        <v>46281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Backmåra</t>
        </is>
      </c>
      <c r="W43">
        <f>HYPERLINK("https://klasma.github.io/Logging_1496/artfynd/A 47869-2025 artfynd.xlsx", "A 47869-2025")</f>
        <v/>
      </c>
      <c r="X43">
        <f>HYPERLINK("https://klasma.github.io/Logging_1496/kartor/A 47869-2025 karta.png", "A 47869-2025")</f>
        <v/>
      </c>
      <c r="Y43">
        <f>HYPERLINK("https://klasma.github.io/Logging_1496/kartor_geotiff/A 47869-2025 georefererad karta.tif", "A 47869-2025")</f>
        <v/>
      </c>
      <c r="AA43">
        <f>HYPERLINK("https://klasma.github.io/Logging_1496/klagomål/A 47869-2025 FSC-klagomål.docx", "A 47869-2025")</f>
        <v/>
      </c>
      <c r="AB43">
        <f>HYPERLINK("https://klasma.github.io/Logging_1496/klagomålsmail/A 47869-2025 FSC-klagomål mail.docx", "A 47869-2025")</f>
        <v/>
      </c>
      <c r="AC43">
        <f>HYPERLINK("https://klasma.github.io/Logging_1496/tillsyn/A 47869-2025 tillsynsbegäran.docx", "A 47869-2025")</f>
        <v/>
      </c>
      <c r="AD43">
        <f>HYPERLINK("https://klasma.github.io/Logging_1496/tillsynsmail/A 47869-2025 tillsynsbegäran mail.docx", "A 47869-2025")</f>
        <v/>
      </c>
    </row>
    <row r="44" ht="15" customHeight="1">
      <c r="A44" t="inlineStr">
        <is>
          <t>A 3951-2024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46281</v>
      </c>
      <c r="F44" t="inlineStr">
        <is>
          <t>VÄSTRA GÖTALANDS LÄN</t>
        </is>
      </c>
      <c r="G44" t="inlineStr">
        <is>
          <t>SKÖVDE</t>
        </is>
      </c>
      <c r="I44" t="n">
        <v>10.7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HYPERLINK("https://klasma.github.io/Logging_1496/artfynd/A 3951-2024 artfynd.xlsx", "A 3951-2024")</f>
        <v/>
      </c>
      <c r="X44">
        <f>HYPERLINK("https://klasma.github.io/Logging_1496/kartor/A 3951-2024 karta.png", "A 3951-2024")</f>
        <v/>
      </c>
      <c r="Y44">
        <f>HYPERLINK("https://klasma.github.io/Logging_1496/kartor_geotiff/A 3951-2024 georefererad karta.tif", "A 3951-2024")</f>
        <v/>
      </c>
      <c r="AA44">
        <f>HYPERLINK("https://klasma.github.io/Logging_1496/klagomål/A 3951-2024 FSC-klagomål.docx", "A 3951-2024")</f>
        <v/>
      </c>
      <c r="AB44">
        <f>HYPERLINK("https://klasma.github.io/Logging_1496/klagomålsmail/A 3951-2024 FSC-klagomål mail.docx", "A 3951-2024")</f>
        <v/>
      </c>
      <c r="AC44">
        <f>HYPERLINK("https://klasma.github.io/Logging_1496/tillsyn/A 3951-2024 tillsynsbegäran.docx", "A 3951-2024")</f>
        <v/>
      </c>
      <c r="AD44">
        <f>HYPERLINK("https://klasma.github.io/Logging_1496/tillsynsmail/A 3951-2024 tillsynsbegäran mail.docx", "A 3951-2024")</f>
        <v/>
      </c>
    </row>
    <row r="45" ht="15" customHeight="1">
      <c r="A45" t="inlineStr">
        <is>
          <t>A 17452-2023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45036</v>
      </c>
      <c r="E45" s="1" t="n">
        <v>46281</v>
      </c>
      <c r="F45" t="inlineStr">
        <is>
          <t>VÄSTRA GÖTALANDS LÄN</t>
        </is>
      </c>
      <c r="G45" t="inlineStr">
        <is>
          <t>SKÖVDE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17452-2023 artfynd.xlsx", "A 17452-2023")</f>
        <v/>
      </c>
      <c r="X45">
        <f>HYPERLINK("https://klasma.github.io/Logging_1496/kartor/A 17452-2023 karta.png", "A 17452-2023")</f>
        <v/>
      </c>
      <c r="Y45">
        <f>HYPERLINK("https://klasma.github.io/Logging_1496/kartor_geotiff/A 17452-2023 georefererad karta.tif", "A 17452-2023")</f>
        <v/>
      </c>
      <c r="AA45">
        <f>HYPERLINK("https://klasma.github.io/Logging_1496/klagomål/A 17452-2023 FSC-klagomål.docx", "A 17452-2023")</f>
        <v/>
      </c>
      <c r="AB45">
        <f>HYPERLINK("https://klasma.github.io/Logging_1496/klagomålsmail/A 17452-2023 FSC-klagomål mail.docx", "A 17452-2023")</f>
        <v/>
      </c>
      <c r="AC45">
        <f>HYPERLINK("https://klasma.github.io/Logging_1496/tillsyn/A 17452-2023 tillsynsbegäran.docx", "A 17452-2023")</f>
        <v/>
      </c>
      <c r="AD45">
        <f>HYPERLINK("https://klasma.github.io/Logging_1496/tillsynsmail/A 17452-2023 tillsynsbegäran mail.docx", "A 17452-2023")</f>
        <v/>
      </c>
    </row>
    <row r="46" ht="15" customHeight="1">
      <c r="A46" t="inlineStr">
        <is>
          <t>A 61213-2024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46281</v>
      </c>
      <c r="F46" t="inlineStr">
        <is>
          <t>VÄSTRA GÖTALANDS LÄN</t>
        </is>
      </c>
      <c r="G46" t="inlineStr">
        <is>
          <t>SKÖVDE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61213-2024 artfynd.xlsx", "A 61213-2024")</f>
        <v/>
      </c>
      <c r="X46">
        <f>HYPERLINK("https://klasma.github.io/Logging_1496/kartor/A 61213-2024 karta.png", "A 61213-2024")</f>
        <v/>
      </c>
      <c r="Y46">
        <f>HYPERLINK("https://klasma.github.io/Logging_1496/kartor_geotiff/A 61213-2024 georefererad karta.tif", "A 61213-2024")</f>
        <v/>
      </c>
      <c r="AA46">
        <f>HYPERLINK("https://klasma.github.io/Logging_1496/klagomål/A 61213-2024 FSC-klagomål.docx", "A 61213-2024")</f>
        <v/>
      </c>
      <c r="AB46">
        <f>HYPERLINK("https://klasma.github.io/Logging_1496/klagomålsmail/A 61213-2024 FSC-klagomål mail.docx", "A 61213-2024")</f>
        <v/>
      </c>
      <c r="AC46">
        <f>HYPERLINK("https://klasma.github.io/Logging_1496/tillsyn/A 61213-2024 tillsynsbegäran.docx", "A 61213-2024")</f>
        <v/>
      </c>
      <c r="AD46">
        <f>HYPERLINK("https://klasma.github.io/Logging_1496/tillsynsmail/A 61213-2024 tillsynsbegäran mail.docx", "A 61213-2024")</f>
        <v/>
      </c>
    </row>
    <row r="47" ht="15" customHeight="1">
      <c r="A47" t="inlineStr">
        <is>
          <t>A 28717-2026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46198</v>
      </c>
      <c r="E47" s="1" t="n">
        <v>46281</v>
      </c>
      <c r="F47" t="inlineStr">
        <is>
          <t>VÄSTRA GÖTALANDS LÄN</t>
        </is>
      </c>
      <c r="G47" t="inlineStr">
        <is>
          <t>SKÖVDE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28717-2026 artfynd.xlsx", "A 28717-2026")</f>
        <v/>
      </c>
      <c r="X47">
        <f>HYPERLINK("https://klasma.github.io/Logging_1496/kartor/A 28717-2026 karta.png", "A 28717-2026")</f>
        <v/>
      </c>
      <c r="Y47">
        <f>HYPERLINK("https://klasma.github.io/Logging_1496/kartor_geotiff/A 28717-2026 georefererad karta.tif", "A 28717-2026")</f>
        <v/>
      </c>
      <c r="AA47">
        <f>HYPERLINK("https://klasma.github.io/Logging_1496/klagomål/A 28717-2026 FSC-klagomål.docx", "A 28717-2026")</f>
        <v/>
      </c>
      <c r="AB47">
        <f>HYPERLINK("https://klasma.github.io/Logging_1496/klagomålsmail/A 28717-2026 FSC-klagomål mail.docx", "A 28717-2026")</f>
        <v/>
      </c>
      <c r="AC47">
        <f>HYPERLINK("https://klasma.github.io/Logging_1496/tillsyn/A 28717-2026 tillsynsbegäran.docx", "A 28717-2026")</f>
        <v/>
      </c>
      <c r="AD47">
        <f>HYPERLINK("https://klasma.github.io/Logging_1496/tillsynsmail/A 28717-2026 tillsynsbegäran mail.docx", "A 28717-2026")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46281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46281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46281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46281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29011-2023 artfynd.xlsx", "A 29011-2023")</f>
        <v/>
      </c>
      <c r="X51">
        <f>HYPERLINK("https://klasma.github.io/Logging_1496/kartor/A 29011-2023 karta.png", "A 29011-2023")</f>
        <v/>
      </c>
      <c r="Y51">
        <f>HYPERLINK("https://klasma.github.io/Logging_1496/kartor_geotiff/A 29011-2023 georefererad karta.tif", "A 29011-2023")</f>
        <v/>
      </c>
      <c r="AA51">
        <f>HYPERLINK("https://klasma.github.io/Logging_1496/klagomål/A 29011-2023 FSC-klagomål.docx", "A 29011-2023")</f>
        <v/>
      </c>
      <c r="AB51">
        <f>HYPERLINK("https://klasma.github.io/Logging_1496/klagomålsmail/A 29011-2023 FSC-klagomål mail.docx", "A 29011-2023")</f>
        <v/>
      </c>
      <c r="AC51">
        <f>HYPERLINK("https://klasma.github.io/Logging_1496/tillsyn/A 29011-2023 tillsynsbegäran.docx", "A 29011-2023")</f>
        <v/>
      </c>
      <c r="AD51">
        <f>HYPERLINK("https://klasma.github.io/Logging_1496/tillsynsmail/A 29011-2023 tillsynsbegäran mail.docx", "A 29011-2023")</f>
        <v/>
      </c>
    </row>
    <row r="52" ht="15" customHeight="1">
      <c r="A52" t="inlineStr">
        <is>
          <t>A 18132-2023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46281</v>
      </c>
      <c r="F52" t="inlineStr">
        <is>
          <t>VÄSTRA GÖTALANDS LÄN</t>
        </is>
      </c>
      <c r="G52" t="inlineStr">
        <is>
          <t>SKÖVDE</t>
        </is>
      </c>
      <c r="I52" t="n">
        <v>0.9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Hässleklocka</t>
        </is>
      </c>
      <c r="W52">
        <f>HYPERLINK("https://klasma.github.io/Logging_1496/artfynd/A 18132-2023 artfynd.xlsx", "A 18132-2023")</f>
        <v/>
      </c>
      <c r="X52">
        <f>HYPERLINK("https://klasma.github.io/Logging_1496/kartor/A 18132-2023 karta.png", "A 18132-2023")</f>
        <v/>
      </c>
      <c r="Y52">
        <f>HYPERLINK("https://klasma.github.io/Logging_1496/kartor_geotiff/A 18132-2023 georefererad karta.tif", "A 18132-2023")</f>
        <v/>
      </c>
      <c r="AA52">
        <f>HYPERLINK("https://klasma.github.io/Logging_1496/klagomål/A 18132-2023 FSC-klagomål.docx", "A 18132-2023")</f>
        <v/>
      </c>
      <c r="AB52">
        <f>HYPERLINK("https://klasma.github.io/Logging_1496/klagomålsmail/A 18132-2023 FSC-klagomål mail.docx", "A 18132-2023")</f>
        <v/>
      </c>
      <c r="AC52">
        <f>HYPERLINK("https://klasma.github.io/Logging_1496/tillsyn/A 18132-2023 tillsynsbegäran.docx", "A 18132-2023")</f>
        <v/>
      </c>
      <c r="AD52">
        <f>HYPERLINK("https://klasma.github.io/Logging_1496/tillsynsmail/A 18132-2023 tillsynsbegäran mail.docx", "A 18132-2023")</f>
        <v/>
      </c>
    </row>
    <row r="53" ht="15" customHeight="1">
      <c r="A53" t="inlineStr">
        <is>
          <t>A 15417-2023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45019</v>
      </c>
      <c r="E53" s="1" t="n">
        <v>46281</v>
      </c>
      <c r="F53" t="inlineStr">
        <is>
          <t>VÄSTRA GÖTALANDS LÄN</t>
        </is>
      </c>
      <c r="G53" t="inlineStr">
        <is>
          <t>SKÖVDE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Gullpudra</t>
        </is>
      </c>
      <c r="W53">
        <f>HYPERLINK("https://klasma.github.io/Logging_1496/artfynd/A 15417-2023 artfynd.xlsx", "A 15417-2023")</f>
        <v/>
      </c>
      <c r="X53">
        <f>HYPERLINK("https://klasma.github.io/Logging_1496/kartor/A 15417-2023 karta.png", "A 15417-2023")</f>
        <v/>
      </c>
      <c r="Y53">
        <f>HYPERLINK("https://klasma.github.io/Logging_1496/kartor_geotiff/A 15417-2023 georefererad karta.tif", "A 15417-2023")</f>
        <v/>
      </c>
      <c r="AA53">
        <f>HYPERLINK("https://klasma.github.io/Logging_1496/klagomål/A 15417-2023 FSC-klagomål.docx", "A 15417-2023")</f>
        <v/>
      </c>
      <c r="AB53">
        <f>HYPERLINK("https://klasma.github.io/Logging_1496/klagomålsmail/A 15417-2023 FSC-klagomål mail.docx", "A 15417-2023")</f>
        <v/>
      </c>
      <c r="AC53">
        <f>HYPERLINK("https://klasma.github.io/Logging_1496/tillsyn/A 15417-2023 tillsynsbegäran.docx", "A 15417-2023")</f>
        <v/>
      </c>
      <c r="AD53">
        <f>HYPERLINK("https://klasma.github.io/Logging_1496/tillsynsmail/A 15417-2023 tillsynsbegäran mail.docx", "A 15417-2023")</f>
        <v/>
      </c>
    </row>
    <row r="54" ht="15" customHeight="1">
      <c r="A54" t="inlineStr">
        <is>
          <t>A 35919-2023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46281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Svinrot</t>
        </is>
      </c>
      <c r="W54">
        <f>HYPERLINK("https://klasma.github.io/Logging_1496/artfynd/A 35919-2023 artfynd.xlsx", "A 35919-2023")</f>
        <v/>
      </c>
      <c r="X54">
        <f>HYPERLINK("https://klasma.github.io/Logging_1496/kartor/A 35919-2023 karta.png", "A 35919-2023")</f>
        <v/>
      </c>
      <c r="Y54">
        <f>HYPERLINK("https://klasma.github.io/Logging_1496/kartor_geotiff/A 35919-2023 georefererad karta.tif", "A 35919-2023")</f>
        <v/>
      </c>
      <c r="AA54">
        <f>HYPERLINK("https://klasma.github.io/Logging_1496/klagomål/A 35919-2023 FSC-klagomål.docx", "A 35919-2023")</f>
        <v/>
      </c>
      <c r="AB54">
        <f>HYPERLINK("https://klasma.github.io/Logging_1496/klagomålsmail/A 35919-2023 FSC-klagomål mail.docx", "A 35919-2023")</f>
        <v/>
      </c>
      <c r="AC54">
        <f>HYPERLINK("https://klasma.github.io/Logging_1496/tillsyn/A 35919-2023 tillsynsbegäran.docx", "A 35919-2023")</f>
        <v/>
      </c>
      <c r="AD54">
        <f>HYPERLINK("https://klasma.github.io/Logging_1496/tillsynsmail/A 35919-2023 tillsynsbegäran mail.docx", "A 35919-2023")</f>
        <v/>
      </c>
    </row>
    <row r="55" ht="15" customHeight="1">
      <c r="A55" t="inlineStr">
        <is>
          <t>A 10602-2023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44988</v>
      </c>
      <c r="E55" s="1" t="n">
        <v>46281</v>
      </c>
      <c r="F55" t="inlineStr">
        <is>
          <t>VÄSTRA GÖTALANDS LÄN</t>
        </is>
      </c>
      <c r="G55" t="inlineStr">
        <is>
          <t>SKÖVDE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10602-2023 artfynd.xlsx", "A 10602-2023")</f>
        <v/>
      </c>
      <c r="X55">
        <f>HYPERLINK("https://klasma.github.io/Logging_1496/kartor/A 10602-2023 karta.png", "A 10602-2023")</f>
        <v/>
      </c>
      <c r="Y55">
        <f>HYPERLINK("https://klasma.github.io/Logging_1496/kartor_geotiff/A 10602-2023 georefererad karta.tif", "A 10602-2023")</f>
        <v/>
      </c>
      <c r="AA55">
        <f>HYPERLINK("https://klasma.github.io/Logging_1496/klagomål/A 10602-2023 FSC-klagomål.docx", "A 10602-2023")</f>
        <v/>
      </c>
      <c r="AB55">
        <f>HYPERLINK("https://klasma.github.io/Logging_1496/klagomålsmail/A 10602-2023 FSC-klagomål mail.docx", "A 10602-2023")</f>
        <v/>
      </c>
      <c r="AC55">
        <f>HYPERLINK("https://klasma.github.io/Logging_1496/tillsyn/A 10602-2023 tillsynsbegäran.docx", "A 10602-2023")</f>
        <v/>
      </c>
      <c r="AD55">
        <f>HYPERLINK("https://klasma.github.io/Logging_1496/tillsynsmail/A 10602-2023 tillsynsbegäran mail.docx", "A 10602-2023")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46281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47898-2023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45204</v>
      </c>
      <c r="E57" s="1" t="n">
        <v>46281</v>
      </c>
      <c r="F57" t="inlineStr">
        <is>
          <t>VÄSTRA GÖTALANDS LÄN</t>
        </is>
      </c>
      <c r="G57" t="inlineStr">
        <is>
          <t>SKÖVDE</t>
        </is>
      </c>
      <c r="I57" t="n">
        <v>9.5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Karminticka</t>
        </is>
      </c>
      <c r="W57">
        <f>HYPERLINK("https://klasma.github.io/Logging_1496/artfynd/A 47898-2023 artfynd.xlsx", "A 47898-2023")</f>
        <v/>
      </c>
      <c r="X57">
        <f>HYPERLINK("https://klasma.github.io/Logging_1496/kartor/A 47898-2023 karta.png", "A 47898-2023")</f>
        <v/>
      </c>
      <c r="Y57">
        <f>HYPERLINK("https://klasma.github.io/Logging_1496/kartor_geotiff/A 47898-2023 georefererad karta.tif", "A 47898-2023")</f>
        <v/>
      </c>
      <c r="AA57">
        <f>HYPERLINK("https://klasma.github.io/Logging_1496/klagomål/A 47898-2023 FSC-klagomål.docx", "A 47898-2023")</f>
        <v/>
      </c>
      <c r="AB57">
        <f>HYPERLINK("https://klasma.github.io/Logging_1496/klagomålsmail/A 47898-2023 FSC-klagomål mail.docx", "A 47898-2023")</f>
        <v/>
      </c>
      <c r="AC57">
        <f>HYPERLINK("https://klasma.github.io/Logging_1496/tillsyn/A 47898-2023 tillsynsbegäran.docx", "A 47898-2023")</f>
        <v/>
      </c>
      <c r="AD57">
        <f>HYPERLINK("https://klasma.github.io/Logging_1496/tillsynsmail/A 47898-2023 tillsynsbegäran mail.docx", "A 47898-2023")</f>
        <v/>
      </c>
    </row>
    <row r="58" ht="15" customHeight="1">
      <c r="A58" t="inlineStr">
        <is>
          <t>A 42904-2023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46281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Grönvit nattviol</t>
        </is>
      </c>
      <c r="W58">
        <f>HYPERLINK("https://klasma.github.io/Logging_1496/artfynd/A 42904-2023 artfynd.xlsx", "A 42904-2023")</f>
        <v/>
      </c>
      <c r="X58">
        <f>HYPERLINK("https://klasma.github.io/Logging_1496/kartor/A 42904-2023 karta.png", "A 42904-2023")</f>
        <v/>
      </c>
      <c r="Y58">
        <f>HYPERLINK("https://klasma.github.io/Logging_1496/kartor_geotiff/A 42904-2023 georefererad karta.tif", "A 42904-2023")</f>
        <v/>
      </c>
      <c r="AA58">
        <f>HYPERLINK("https://klasma.github.io/Logging_1496/klagomål/A 42904-2023 FSC-klagomål.docx", "A 42904-2023")</f>
        <v/>
      </c>
      <c r="AB58">
        <f>HYPERLINK("https://klasma.github.io/Logging_1496/klagomålsmail/A 42904-2023 FSC-klagomål mail.docx", "A 42904-2023")</f>
        <v/>
      </c>
      <c r="AC58">
        <f>HYPERLINK("https://klasma.github.io/Logging_1496/tillsyn/A 42904-2023 tillsynsbegäran.docx", "A 42904-2023")</f>
        <v/>
      </c>
      <c r="AD58">
        <f>HYPERLINK("https://klasma.github.io/Logging_1496/tillsynsmail/A 42904-2023 tillsynsbegäran mail.docx", "A 42904-2023")</f>
        <v/>
      </c>
    </row>
    <row r="59" ht="15" customHeight="1">
      <c r="A59" t="inlineStr">
        <is>
          <t>A 36667-2026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46272</v>
      </c>
      <c r="E59" s="1" t="n">
        <v>46281</v>
      </c>
      <c r="F59" t="inlineStr">
        <is>
          <t>VÄSTRA GÖTALANDS LÄN</t>
        </is>
      </c>
      <c r="G59" t="inlineStr">
        <is>
          <t>SKÖVDE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Trollfibbla</t>
        </is>
      </c>
      <c r="W59">
        <f>HYPERLINK("https://klasma.github.io/Logging_1496/artfynd/A 36667-2026 artfynd.xlsx", "A 36667-2026")</f>
        <v/>
      </c>
      <c r="X59">
        <f>HYPERLINK("https://klasma.github.io/Logging_1496/kartor/A 36667-2026 karta.png", "A 36667-2026")</f>
        <v/>
      </c>
      <c r="Y59">
        <f>HYPERLINK("https://klasma.github.io/Logging_1496/kartor_geotiff/A 36667-2026 georefererad karta.tif", "A 36667-2026")</f>
        <v/>
      </c>
      <c r="AA59">
        <f>HYPERLINK("https://klasma.github.io/Logging_1496/klagomål/A 36667-2026 FSC-klagomål.docx", "A 36667-2026")</f>
        <v/>
      </c>
      <c r="AB59">
        <f>HYPERLINK("https://klasma.github.io/Logging_1496/klagomålsmail/A 36667-2026 FSC-klagomål mail.docx", "A 36667-2026")</f>
        <v/>
      </c>
      <c r="AC59">
        <f>HYPERLINK("https://klasma.github.io/Logging_1496/tillsyn/A 36667-2026 tillsynsbegäran.docx", "A 36667-2026")</f>
        <v/>
      </c>
      <c r="AD59">
        <f>HYPERLINK("https://klasma.github.io/Logging_1496/tillsynsmail/A 36667-2026 tillsynsbegäran mail.docx", "A 36667-2026")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46281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46281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46281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46281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46281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46281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46281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46281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46281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46281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46281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46281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46281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46281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46281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46281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46281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46281</v>
      </c>
      <c r="F78" t="inlineStr">
        <is>
          <t>VÄSTRA GÖTALANDS LÄN</t>
        </is>
      </c>
      <c r="G78" t="inlineStr">
        <is>
          <t>SKÖVDE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46281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46281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46281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46281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12942-2024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46281</v>
      </c>
      <c r="F83" t="inlineStr">
        <is>
          <t>VÄSTRA GÖTALANDS LÄN</t>
        </is>
      </c>
      <c r="G83" t="inlineStr">
        <is>
          <t>SKÖVDE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46281</v>
      </c>
      <c r="F84" t="inlineStr">
        <is>
          <t>VÄSTRA GÖTALANDS LÄN</t>
        </is>
      </c>
      <c r="G84" t="inlineStr">
        <is>
          <t>SKÖVDE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46281</v>
      </c>
      <c r="F85" t="inlineStr">
        <is>
          <t>VÄSTRA GÖTALANDS LÄN</t>
        </is>
      </c>
      <c r="G85" t="inlineStr">
        <is>
          <t>SKÖVDE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46281</v>
      </c>
      <c r="F86" t="inlineStr">
        <is>
          <t>VÄSTRA GÖTALANDS LÄN</t>
        </is>
      </c>
      <c r="G86" t="inlineStr">
        <is>
          <t>SKÖVDE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46231-2022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44847</v>
      </c>
      <c r="E87" s="1" t="n">
        <v>46281</v>
      </c>
      <c r="F87" t="inlineStr">
        <is>
          <t>VÄSTRA GÖTALANDS LÄN</t>
        </is>
      </c>
      <c r="G87" t="inlineStr">
        <is>
          <t>SKÖVDE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47900-2023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45204</v>
      </c>
      <c r="E88" s="1" t="n">
        <v>46281</v>
      </c>
      <c r="F88" t="inlineStr">
        <is>
          <t>VÄSTRA GÖTALANDS LÄN</t>
        </is>
      </c>
      <c r="G88" t="inlineStr">
        <is>
          <t>SKÖVDE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46281</v>
      </c>
      <c r="F89" t="inlineStr">
        <is>
          <t>VÄSTRA GÖTALANDS LÄN</t>
        </is>
      </c>
      <c r="G89" t="inlineStr">
        <is>
          <t>SKÖVDE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46281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46281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46281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46281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45245</v>
      </c>
      <c r="E94" s="1" t="n">
        <v>46281</v>
      </c>
      <c r="F94" t="inlineStr">
        <is>
          <t>VÄSTRA GÖTALANDS LÄN</t>
        </is>
      </c>
      <c r="G94" t="inlineStr">
        <is>
          <t>SKÖVDE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46281</v>
      </c>
      <c r="F95" t="inlineStr">
        <is>
          <t>VÄSTRA GÖTALANDS LÄN</t>
        </is>
      </c>
      <c r="G95" t="inlineStr">
        <is>
          <t>SKÖVDE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46281</v>
      </c>
      <c r="F96" t="inlineStr">
        <is>
          <t>VÄSTRA GÖTALANDS LÄN</t>
        </is>
      </c>
      <c r="G96" t="inlineStr">
        <is>
          <t>SKÖVDE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46281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46281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45134</v>
      </c>
      <c r="E99" s="1" t="n">
        <v>46281</v>
      </c>
      <c r="F99" t="inlineStr">
        <is>
          <t>VÄSTRA GÖTALANDS LÄN</t>
        </is>
      </c>
      <c r="G99" t="inlineStr">
        <is>
          <t>SKÖVDE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45694</v>
      </c>
      <c r="E100" s="1" t="n">
        <v>46281</v>
      </c>
      <c r="F100" t="inlineStr">
        <is>
          <t>VÄSTRA GÖTALANDS LÄN</t>
        </is>
      </c>
      <c r="G100" t="inlineStr">
        <is>
          <t>SKÖVDE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46281</v>
      </c>
      <c r="F101" t="inlineStr">
        <is>
          <t>VÄSTRA GÖTALANDS LÄN</t>
        </is>
      </c>
      <c r="G101" t="inlineStr">
        <is>
          <t>SKÖVDE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45314</v>
      </c>
      <c r="E102" s="1" t="n">
        <v>46281</v>
      </c>
      <c r="F102" t="inlineStr">
        <is>
          <t>VÄSTRA GÖTALANDS LÄN</t>
        </is>
      </c>
      <c r="G102" t="inlineStr">
        <is>
          <t>SKÖVDE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45306</v>
      </c>
      <c r="E103" s="1" t="n">
        <v>46281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46281</v>
      </c>
      <c r="F104" t="inlineStr">
        <is>
          <t>VÄSTRA GÖTALANDS LÄN</t>
        </is>
      </c>
      <c r="G104" t="inlineStr">
        <is>
          <t>SKÖVDE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46281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46281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45853</v>
      </c>
      <c r="E107" s="1" t="n">
        <v>46281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46281</v>
      </c>
      <c r="F108" t="inlineStr">
        <is>
          <t>VÄSTRA GÖTALANDS LÄN</t>
        </is>
      </c>
      <c r="G108" t="inlineStr">
        <is>
          <t>SKÖVDE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46281</v>
      </c>
      <c r="F109" t="inlineStr">
        <is>
          <t>VÄSTRA GÖTALANDS LÄN</t>
        </is>
      </c>
      <c r="G109" t="inlineStr">
        <is>
          <t>SKÖVDE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46281</v>
      </c>
      <c r="F110" t="inlineStr">
        <is>
          <t>VÄSTRA GÖTALANDS LÄN</t>
        </is>
      </c>
      <c r="G110" t="inlineStr">
        <is>
          <t>SKÖVDE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46091</v>
      </c>
      <c r="E111" s="1" t="n">
        <v>46281</v>
      </c>
      <c r="F111" t="inlineStr">
        <is>
          <t>VÄSTRA GÖTALANDS LÄN</t>
        </is>
      </c>
      <c r="G111" t="inlineStr">
        <is>
          <t>SKÖVDE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46281</v>
      </c>
      <c r="F112" t="inlineStr">
        <is>
          <t>VÄSTRA GÖTALANDS LÄN</t>
        </is>
      </c>
      <c r="G112" t="inlineStr">
        <is>
          <t>SKÖVDE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46281</v>
      </c>
      <c r="F113" t="inlineStr">
        <is>
          <t>VÄSTRA GÖTALANDS LÄN</t>
        </is>
      </c>
      <c r="G113" t="inlineStr">
        <is>
          <t>SKÖVDE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45531</v>
      </c>
      <c r="E114" s="1" t="n">
        <v>46281</v>
      </c>
      <c r="F114" t="inlineStr">
        <is>
          <t>VÄSTRA GÖTALANDS LÄN</t>
        </is>
      </c>
      <c r="G114" t="inlineStr">
        <is>
          <t>SKÖVDE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46281</v>
      </c>
      <c r="F115" t="inlineStr">
        <is>
          <t>VÄSTRA GÖTALANDS LÄN</t>
        </is>
      </c>
      <c r="G115" t="inlineStr">
        <is>
          <t>SKÖVDE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46281</v>
      </c>
      <c r="F116" t="inlineStr">
        <is>
          <t>VÄSTRA GÖTALANDS LÄN</t>
        </is>
      </c>
      <c r="G116" t="inlineStr">
        <is>
          <t>SKÖVDE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46281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46281</v>
      </c>
      <c r="F118" t="inlineStr">
        <is>
          <t>VÄSTRA GÖTALANDS LÄN</t>
        </is>
      </c>
      <c r="G118" t="inlineStr">
        <is>
          <t>SKÖVDE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14281-2026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46099</v>
      </c>
      <c r="E119" s="1" t="n">
        <v>46281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44636</v>
      </c>
      <c r="E120" s="1" t="n">
        <v>46281</v>
      </c>
      <c r="F120" t="inlineStr">
        <is>
          <t>VÄSTRA GÖTALANDS LÄN</t>
        </is>
      </c>
      <c r="G120" t="inlineStr">
        <is>
          <t>SKÖVDE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46281</v>
      </c>
      <c r="F121" t="inlineStr">
        <is>
          <t>VÄSTRA GÖTALANDS LÄN</t>
        </is>
      </c>
      <c r="G121" t="inlineStr">
        <is>
          <t>SKÖVDE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45586</v>
      </c>
      <c r="E122" s="1" t="n">
        <v>46281</v>
      </c>
      <c r="F122" t="inlineStr">
        <is>
          <t>VÄSTRA GÖTALANDS LÄN</t>
        </is>
      </c>
      <c r="G122" t="inlineStr">
        <is>
          <t>SKÖVDE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46281</v>
      </c>
      <c r="F123" t="inlineStr">
        <is>
          <t>VÄSTRA GÖTALANDS LÄN</t>
        </is>
      </c>
      <c r="G123" t="inlineStr">
        <is>
          <t>SKÖVDE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46281</v>
      </c>
      <c r="F124" t="inlineStr">
        <is>
          <t>VÄSTRA GÖTALANDS LÄN</t>
        </is>
      </c>
      <c r="G124" t="inlineStr">
        <is>
          <t>SKÖVDE</t>
        </is>
      </c>
      <c r="I124" t="n">
        <v>11.8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45547</v>
      </c>
      <c r="E125" s="1" t="n">
        <v>46281</v>
      </c>
      <c r="F125" t="inlineStr">
        <is>
          <t>VÄSTRA GÖTALANDS LÄN</t>
        </is>
      </c>
      <c r="G125" t="inlineStr">
        <is>
          <t>SKÖVDE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44938</v>
      </c>
      <c r="E126" s="1" t="n">
        <v>46281</v>
      </c>
      <c r="F126" t="inlineStr">
        <is>
          <t>VÄSTRA GÖTALANDS LÄN</t>
        </is>
      </c>
      <c r="G126" t="inlineStr">
        <is>
          <t>SKÖVDE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45401</v>
      </c>
      <c r="E127" s="1" t="n">
        <v>46281</v>
      </c>
      <c r="F127" t="inlineStr">
        <is>
          <t>VÄSTRA GÖTALANDS LÄN</t>
        </is>
      </c>
      <c r="G127" t="inlineStr">
        <is>
          <t>SKÖVDE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46281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Kyrkan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46281</v>
      </c>
      <c r="F129" t="inlineStr">
        <is>
          <t>VÄSTRA GÖTALANDS LÄN</t>
        </is>
      </c>
      <c r="G129" t="inlineStr">
        <is>
          <t>SKÖVDE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46281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46281</v>
      </c>
      <c r="F131" t="inlineStr">
        <is>
          <t>VÄSTRA GÖTALANDS LÄN</t>
        </is>
      </c>
      <c r="G131" t="inlineStr">
        <is>
          <t>SKÖVDE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13901-2025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45737</v>
      </c>
      <c r="E132" s="1" t="n">
        <v>46281</v>
      </c>
      <c r="F132" t="inlineStr">
        <is>
          <t>VÄSTRA GÖTALANDS LÄN</t>
        </is>
      </c>
      <c r="G132" t="inlineStr">
        <is>
          <t>SKÖVDE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46281</v>
      </c>
      <c r="F133" t="inlineStr">
        <is>
          <t>VÄSTRA GÖTALANDS LÄN</t>
        </is>
      </c>
      <c r="G133" t="inlineStr">
        <is>
          <t>SKÖVDE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46281</v>
      </c>
      <c r="F134" t="inlineStr">
        <is>
          <t>VÄSTRA GÖTALANDS LÄN</t>
        </is>
      </c>
      <c r="G134" t="inlineStr">
        <is>
          <t>SKÖVDE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45439</v>
      </c>
      <c r="E135" s="1" t="n">
        <v>46281</v>
      </c>
      <c r="F135" t="inlineStr">
        <is>
          <t>VÄSTRA GÖTALANDS LÄN</t>
        </is>
      </c>
      <c r="G135" t="inlineStr">
        <is>
          <t>SKÖVDE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46281</v>
      </c>
      <c r="F136" t="inlineStr">
        <is>
          <t>VÄSTRA GÖTALANDS LÄN</t>
        </is>
      </c>
      <c r="G136" t="inlineStr">
        <is>
          <t>SKÖVDE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46281</v>
      </c>
      <c r="F137" t="inlineStr">
        <is>
          <t>VÄSTRA GÖTALANDS LÄN</t>
        </is>
      </c>
      <c r="G137" t="inlineStr">
        <is>
          <t>SKÖVDE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46281</v>
      </c>
      <c r="F138" t="inlineStr">
        <is>
          <t>VÄSTRA GÖTALANDS LÄN</t>
        </is>
      </c>
      <c r="G138" t="inlineStr">
        <is>
          <t>SKÖVDE</t>
        </is>
      </c>
      <c r="H138" t="inlineStr">
        <is>
          <t>Kommuner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46281</v>
      </c>
      <c r="F139" t="inlineStr">
        <is>
          <t>VÄSTRA GÖTALANDS LÄN</t>
        </is>
      </c>
      <c r="G139" t="inlineStr">
        <is>
          <t>SKÖVDE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46281</v>
      </c>
      <c r="F140" t="inlineStr">
        <is>
          <t>VÄSTRA GÖTALANDS LÄN</t>
        </is>
      </c>
      <c r="G140" t="inlineStr">
        <is>
          <t>SKÖVDE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46281</v>
      </c>
      <c r="F141" t="inlineStr">
        <is>
          <t>VÄSTRA GÖTALANDS LÄN</t>
        </is>
      </c>
      <c r="G141" t="inlineStr">
        <is>
          <t>SKÖVDE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44750</v>
      </c>
      <c r="E142" s="1" t="n">
        <v>46281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46281</v>
      </c>
      <c r="F143" t="inlineStr">
        <is>
          <t>VÄSTRA GÖTALANDS LÄN</t>
        </is>
      </c>
      <c r="G143" t="inlineStr">
        <is>
          <t>SKÖVDE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46281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48225-2024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45590</v>
      </c>
      <c r="E145" s="1" t="n">
        <v>46281</v>
      </c>
      <c r="F145" t="inlineStr">
        <is>
          <t>VÄSTRA GÖTALANDS LÄN</t>
        </is>
      </c>
      <c r="G145" t="inlineStr">
        <is>
          <t>SKÖVDE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46281</v>
      </c>
      <c r="F146" t="inlineStr">
        <is>
          <t>VÄSTRA GÖTALANDS LÄN</t>
        </is>
      </c>
      <c r="G146" t="inlineStr">
        <is>
          <t>SKÖVDE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44963</v>
      </c>
      <c r="E147" s="1" t="n">
        <v>46281</v>
      </c>
      <c r="F147" t="inlineStr">
        <is>
          <t>VÄSTRA GÖTALANDS LÄN</t>
        </is>
      </c>
      <c r="G147" t="inlineStr">
        <is>
          <t>SKÖVDE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46281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46281</v>
      </c>
      <c r="F149" t="inlineStr">
        <is>
          <t>VÄSTRA GÖTALANDS LÄN</t>
        </is>
      </c>
      <c r="G149" t="inlineStr">
        <is>
          <t>SKÖVDE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46281</v>
      </c>
      <c r="F150" t="inlineStr">
        <is>
          <t>VÄSTRA GÖTALANDS LÄN</t>
        </is>
      </c>
      <c r="G150" t="inlineStr">
        <is>
          <t>SKÖVDE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46281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44600</v>
      </c>
      <c r="E152" s="1" t="n">
        <v>46281</v>
      </c>
      <c r="F152" t="inlineStr">
        <is>
          <t>VÄSTRA GÖTALANDS LÄN</t>
        </is>
      </c>
      <c r="G152" t="inlineStr">
        <is>
          <t>SKÖVDE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46281</v>
      </c>
      <c r="F153" t="inlineStr">
        <is>
          <t>VÄSTRA GÖTALANDS LÄN</t>
        </is>
      </c>
      <c r="G153" t="inlineStr">
        <is>
          <t>SKÖVDE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13669-2023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45006</v>
      </c>
      <c r="E154" s="1" t="n">
        <v>46281</v>
      </c>
      <c r="F154" t="inlineStr">
        <is>
          <t>VÄSTRA GÖTALANDS LÄN</t>
        </is>
      </c>
      <c r="G154" t="inlineStr">
        <is>
          <t>SKÖVDE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46281</v>
      </c>
      <c r="F155" t="inlineStr">
        <is>
          <t>VÄSTRA GÖTALANDS LÄN</t>
        </is>
      </c>
      <c r="G155" t="inlineStr">
        <is>
          <t>SKÖVDE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46281</v>
      </c>
      <c r="F156" t="inlineStr">
        <is>
          <t>VÄSTRA GÖTALANDS LÄN</t>
        </is>
      </c>
      <c r="G156" t="inlineStr">
        <is>
          <t>SKÖVDE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46281</v>
      </c>
      <c r="F157" t="inlineStr">
        <is>
          <t>VÄSTRA GÖTALANDS LÄN</t>
        </is>
      </c>
      <c r="G157" t="inlineStr">
        <is>
          <t>SKÖVDE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46281</v>
      </c>
      <c r="F158" t="inlineStr">
        <is>
          <t>VÄSTRA GÖTALANDS LÄN</t>
        </is>
      </c>
      <c r="G158" t="inlineStr">
        <is>
          <t>SKÖVDE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46281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45138</v>
      </c>
      <c r="E160" s="1" t="n">
        <v>46281</v>
      </c>
      <c r="F160" t="inlineStr">
        <is>
          <t>VÄSTRA GÖTALANDS LÄN</t>
        </is>
      </c>
      <c r="G160" t="inlineStr">
        <is>
          <t>SKÖVDE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46281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46281</v>
      </c>
      <c r="F162" t="inlineStr">
        <is>
          <t>VÄSTRA GÖTALANDS LÄN</t>
        </is>
      </c>
      <c r="G162" t="inlineStr">
        <is>
          <t>SKÖVDE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46281</v>
      </c>
      <c r="F163" t="inlineStr">
        <is>
          <t>VÄSTRA GÖTALANDS LÄN</t>
        </is>
      </c>
      <c r="G163" t="inlineStr">
        <is>
          <t>SKÖVDE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46281</v>
      </c>
      <c r="F164" t="inlineStr">
        <is>
          <t>VÄSTRA GÖTALANDS LÄN</t>
        </is>
      </c>
      <c r="G164" t="inlineStr">
        <is>
          <t>SKÖVDE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46281</v>
      </c>
      <c r="F165" t="inlineStr">
        <is>
          <t>VÄSTRA GÖTALANDS LÄN</t>
        </is>
      </c>
      <c r="G165" t="inlineStr">
        <is>
          <t>SKÖVDE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46281</v>
      </c>
      <c r="F166" t="inlineStr">
        <is>
          <t>VÄSTRA GÖTALANDS LÄN</t>
        </is>
      </c>
      <c r="G166" t="inlineStr">
        <is>
          <t>SKÖVDE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46281</v>
      </c>
      <c r="F167" t="inlineStr">
        <is>
          <t>VÄSTRA GÖTALANDS LÄN</t>
        </is>
      </c>
      <c r="G167" t="inlineStr">
        <is>
          <t>SKÖVDE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40205-2022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46281</v>
      </c>
      <c r="F168" t="inlineStr">
        <is>
          <t>VÄSTRA GÖTALANDS LÄN</t>
        </is>
      </c>
      <c r="G168" t="inlineStr">
        <is>
          <t>SKÖVDE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62811-2025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46281</v>
      </c>
      <c r="F169" t="inlineStr">
        <is>
          <t>VÄSTRA GÖTALANDS LÄN</t>
        </is>
      </c>
      <c r="G169" t="inlineStr">
        <is>
          <t>SKÖVDE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45201</v>
      </c>
      <c r="E170" s="1" t="n">
        <v>46281</v>
      </c>
      <c r="F170" t="inlineStr">
        <is>
          <t>VÄSTRA GÖTALANDS LÄN</t>
        </is>
      </c>
      <c r="G170" t="inlineStr">
        <is>
          <t>SKÖVDE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46281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46281</v>
      </c>
      <c r="F172" t="inlineStr">
        <is>
          <t>VÄSTRA GÖTALANDS LÄN</t>
        </is>
      </c>
      <c r="G172" t="inlineStr">
        <is>
          <t>SKÖVDE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46139</v>
      </c>
      <c r="E173" s="1" t="n">
        <v>46281</v>
      </c>
      <c r="F173" t="inlineStr">
        <is>
          <t>VÄSTRA GÖTALANDS LÄN</t>
        </is>
      </c>
      <c r="G173" t="inlineStr">
        <is>
          <t>SKÖVDE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46017</v>
      </c>
      <c r="E174" s="1" t="n">
        <v>46281</v>
      </c>
      <c r="F174" t="inlineStr">
        <is>
          <t>VÄSTRA GÖTALANDS LÄN</t>
        </is>
      </c>
      <c r="G174" t="inlineStr">
        <is>
          <t>SKÖVDE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45267</v>
      </c>
      <c r="E175" s="1" t="n">
        <v>46281</v>
      </c>
      <c r="F175" t="inlineStr">
        <is>
          <t>VÄSTRA GÖTALANDS LÄN</t>
        </is>
      </c>
      <c r="G175" t="inlineStr">
        <is>
          <t>SKÖVDE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45013</v>
      </c>
      <c r="E176" s="1" t="n">
        <v>46281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2901-2026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46038</v>
      </c>
      <c r="E177" s="1" t="n">
        <v>46281</v>
      </c>
      <c r="F177" t="inlineStr">
        <is>
          <t>VÄSTRA GÖTALANDS LÄN</t>
        </is>
      </c>
      <c r="G177" t="inlineStr">
        <is>
          <t>SKÖVDE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26699-2022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46281</v>
      </c>
      <c r="F178" t="inlineStr">
        <is>
          <t>VÄSTRA GÖTALANDS LÄN</t>
        </is>
      </c>
      <c r="G178" t="inlineStr">
        <is>
          <t>SKÖVDE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46281</v>
      </c>
      <c r="F179" t="inlineStr">
        <is>
          <t>VÄSTRA GÖTALANDS LÄN</t>
        </is>
      </c>
      <c r="G179" t="inlineStr">
        <is>
          <t>SKÖVDE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46281</v>
      </c>
      <c r="F180" t="inlineStr">
        <is>
          <t>VÄSTRA GÖTALANDS LÄN</t>
        </is>
      </c>
      <c r="G180" t="inlineStr">
        <is>
          <t>SKÖVDE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46281</v>
      </c>
      <c r="F181" t="inlineStr">
        <is>
          <t>VÄSTRA GÖTALANDS LÄN</t>
        </is>
      </c>
      <c r="G181" t="inlineStr">
        <is>
          <t>SKÖVDE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46281</v>
      </c>
      <c r="F182" t="inlineStr">
        <is>
          <t>VÄSTRA GÖTALANDS LÄN</t>
        </is>
      </c>
      <c r="G182" t="inlineStr">
        <is>
          <t>SKÖVDE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46281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6092-2026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46052</v>
      </c>
      <c r="E184" s="1" t="n">
        <v>46281</v>
      </c>
      <c r="F184" t="inlineStr">
        <is>
          <t>VÄSTRA GÖTALANDS LÄN</t>
        </is>
      </c>
      <c r="G184" t="inlineStr">
        <is>
          <t>SKÖVDE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46281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67134-2021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44523</v>
      </c>
      <c r="E186" s="1" t="n">
        <v>46281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46281</v>
      </c>
      <c r="F187" t="inlineStr">
        <is>
          <t>VÄSTRA GÖTALANDS LÄN</t>
        </is>
      </c>
      <c r="G187" t="inlineStr">
        <is>
          <t>SKÖVDE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46281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46281</v>
      </c>
      <c r="F189" t="inlineStr">
        <is>
          <t>VÄSTRA GÖTALANDS LÄN</t>
        </is>
      </c>
      <c r="G189" t="inlineStr">
        <is>
          <t>SKÖVDE</t>
        </is>
      </c>
      <c r="H189" t="inlineStr">
        <is>
          <t>Övriga statliga verk och myndigheter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46281</v>
      </c>
      <c r="F190" t="inlineStr">
        <is>
          <t>VÄSTRA GÖTALANDS LÄN</t>
        </is>
      </c>
      <c r="G190" t="inlineStr">
        <is>
          <t>SKÖVDE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46009</v>
      </c>
      <c r="E191" s="1" t="n">
        <v>46281</v>
      </c>
      <c r="F191" t="inlineStr">
        <is>
          <t>VÄSTRA GÖTALANDS LÄN</t>
        </is>
      </c>
      <c r="G191" t="inlineStr">
        <is>
          <t>SKÖVDE</t>
        </is>
      </c>
      <c r="H191" t="inlineStr">
        <is>
          <t>Övriga statliga verk och myndigheter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46281</v>
      </c>
      <c r="F192" t="inlineStr">
        <is>
          <t>VÄSTRA GÖTALANDS LÄN</t>
        </is>
      </c>
      <c r="G192" t="inlineStr">
        <is>
          <t>SKÖVDE</t>
        </is>
      </c>
      <c r="H192" t="inlineStr">
        <is>
          <t>Övriga statliga verk och myndigheter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46281</v>
      </c>
      <c r="F193" t="inlineStr">
        <is>
          <t>VÄSTRA GÖTALANDS LÄN</t>
        </is>
      </c>
      <c r="G193" t="inlineStr">
        <is>
          <t>SKÖVDE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46281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46281</v>
      </c>
      <c r="F195" t="inlineStr">
        <is>
          <t>VÄSTRA GÖTALANDS LÄN</t>
        </is>
      </c>
      <c r="G195" t="inlineStr">
        <is>
          <t>SKÖVDE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46182</v>
      </c>
      <c r="E196" s="1" t="n">
        <v>46281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46281</v>
      </c>
      <c r="F197" t="inlineStr">
        <is>
          <t>VÄSTRA GÖTALANDS LÄN</t>
        </is>
      </c>
      <c r="G197" t="inlineStr">
        <is>
          <t>SKÖVDE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46281</v>
      </c>
      <c r="F198" t="inlineStr">
        <is>
          <t>VÄSTRA GÖTALANDS LÄN</t>
        </is>
      </c>
      <c r="G198" t="inlineStr">
        <is>
          <t>SKÖVDE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26914-2026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46185</v>
      </c>
      <c r="E199" s="1" t="n">
        <v>46281</v>
      </c>
      <c r="F199" t="inlineStr">
        <is>
          <t>VÄSTRA GÖTALANDS LÄN</t>
        </is>
      </c>
      <c r="G199" t="inlineStr">
        <is>
          <t>SKÖVDE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51886-2021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46281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46281</v>
      </c>
      <c r="F201" t="inlineStr">
        <is>
          <t>VÄSTRA GÖTALANDS LÄN</t>
        </is>
      </c>
      <c r="G201" t="inlineStr">
        <is>
          <t>SKÖVDE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44959</v>
      </c>
      <c r="E202" s="1" t="n">
        <v>46281</v>
      </c>
      <c r="F202" t="inlineStr">
        <is>
          <t>VÄSTRA GÖTALANDS LÄN</t>
        </is>
      </c>
      <c r="G202" t="inlineStr">
        <is>
          <t>SKÖVDE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17798-2024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45418</v>
      </c>
      <c r="E203" s="1" t="n">
        <v>46281</v>
      </c>
      <c r="F203" t="inlineStr">
        <is>
          <t>VÄSTRA GÖTALANDS LÄN</t>
        </is>
      </c>
      <c r="G203" t="inlineStr">
        <is>
          <t>SKÖVDE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45086</v>
      </c>
      <c r="E204" s="1" t="n">
        <v>46281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60117-2021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44495</v>
      </c>
      <c r="E205" s="1" t="n">
        <v>46281</v>
      </c>
      <c r="F205" t="inlineStr">
        <is>
          <t>VÄSTRA GÖTALANDS LÄN</t>
        </is>
      </c>
      <c r="G205" t="inlineStr">
        <is>
          <t>SKÖVDE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46281</v>
      </c>
      <c r="F206" t="inlineStr">
        <is>
          <t>VÄSTRA GÖTALANDS LÄN</t>
        </is>
      </c>
      <c r="G206" t="inlineStr">
        <is>
          <t>SKÖVDE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45306</v>
      </c>
      <c r="E207" s="1" t="n">
        <v>46281</v>
      </c>
      <c r="F207" t="inlineStr">
        <is>
          <t>VÄSTRA GÖTALANDS LÄN</t>
        </is>
      </c>
      <c r="G207" t="inlineStr">
        <is>
          <t>SKÖVDE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46202</v>
      </c>
      <c r="E208" s="1" t="n">
        <v>46281</v>
      </c>
      <c r="F208" t="inlineStr">
        <is>
          <t>VÄSTRA GÖTALANDS LÄN</t>
        </is>
      </c>
      <c r="G208" t="inlineStr">
        <is>
          <t>SKÖVDE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46281</v>
      </c>
      <c r="F209" t="inlineStr">
        <is>
          <t>VÄSTRA GÖTALANDS LÄN</t>
        </is>
      </c>
      <c r="G209" t="inlineStr">
        <is>
          <t>SKÖVDE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46281</v>
      </c>
      <c r="F210" t="inlineStr">
        <is>
          <t>VÄSTRA GÖTALANDS LÄN</t>
        </is>
      </c>
      <c r="G210" t="inlineStr">
        <is>
          <t>SKÖVDE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45560</v>
      </c>
      <c r="E211" s="1" t="n">
        <v>46281</v>
      </c>
      <c r="F211" t="inlineStr">
        <is>
          <t>VÄSTRA GÖTALANDS LÄN</t>
        </is>
      </c>
      <c r="G211" t="inlineStr">
        <is>
          <t>SKÖVDE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46281</v>
      </c>
      <c r="F212" t="inlineStr">
        <is>
          <t>VÄSTRA GÖTALANDS LÄN</t>
        </is>
      </c>
      <c r="G212" t="inlineStr">
        <is>
          <t>SKÖVDE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46281</v>
      </c>
      <c r="F213" t="inlineStr">
        <is>
          <t>VÄSTRA GÖTALANDS LÄN</t>
        </is>
      </c>
      <c r="G213" t="inlineStr">
        <is>
          <t>SKÖVDE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53740-2023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45230</v>
      </c>
      <c r="E214" s="1" t="n">
        <v>46281</v>
      </c>
      <c r="F214" t="inlineStr">
        <is>
          <t>VÄSTRA GÖTALANDS LÄN</t>
        </is>
      </c>
      <c r="G214" t="inlineStr">
        <is>
          <t>SKÖVDE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46281</v>
      </c>
      <c r="F215" t="inlineStr">
        <is>
          <t>VÄSTRA GÖTALANDS LÄN</t>
        </is>
      </c>
      <c r="G215" t="inlineStr">
        <is>
          <t>SKÖVDE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35280-2024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45530</v>
      </c>
      <c r="E216" s="1" t="n">
        <v>46281</v>
      </c>
      <c r="F216" t="inlineStr">
        <is>
          <t>VÄSTRA GÖTALANDS LÄN</t>
        </is>
      </c>
      <c r="G216" t="inlineStr">
        <is>
          <t>SKÖVDE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46281</v>
      </c>
      <c r="F217" t="inlineStr">
        <is>
          <t>VÄSTRA GÖTALANDS LÄN</t>
        </is>
      </c>
      <c r="G217" t="inlineStr">
        <is>
          <t>SKÖVDE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46281</v>
      </c>
      <c r="F218" t="inlineStr">
        <is>
          <t>VÄSTRA GÖTALANDS LÄN</t>
        </is>
      </c>
      <c r="G218" t="inlineStr">
        <is>
          <t>SKÖVDE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46281</v>
      </c>
      <c r="F219" t="inlineStr">
        <is>
          <t>VÄSTRA GÖTALANDS LÄN</t>
        </is>
      </c>
      <c r="G219" t="inlineStr">
        <is>
          <t>SKÖVDE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46281</v>
      </c>
      <c r="F220" t="inlineStr">
        <is>
          <t>VÄSTRA GÖTALANDS LÄN</t>
        </is>
      </c>
      <c r="G220" t="inlineStr">
        <is>
          <t>SKÖVDE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45687</v>
      </c>
      <c r="E221" s="1" t="n">
        <v>46281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45215</v>
      </c>
      <c r="E222" s="1" t="n">
        <v>46281</v>
      </c>
      <c r="F222" t="inlineStr">
        <is>
          <t>VÄSTRA GÖTALANDS LÄN</t>
        </is>
      </c>
      <c r="G222" t="inlineStr">
        <is>
          <t>SKÖVDE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27671-2022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46281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46281</v>
      </c>
      <c r="F224" t="inlineStr">
        <is>
          <t>VÄSTRA GÖTALANDS LÄN</t>
        </is>
      </c>
      <c r="G224" t="inlineStr">
        <is>
          <t>SKÖVDE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46272</v>
      </c>
      <c r="E225" s="1" t="n">
        <v>46281</v>
      </c>
      <c r="F225" t="inlineStr">
        <is>
          <t>VÄSTRA GÖTALANDS LÄN</t>
        </is>
      </c>
      <c r="G225" t="inlineStr">
        <is>
          <t>SKÖVDE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45082</v>
      </c>
      <c r="E226" s="1" t="n">
        <v>46281</v>
      </c>
      <c r="F226" t="inlineStr">
        <is>
          <t>VÄSTRA GÖTALANDS LÄN</t>
        </is>
      </c>
      <c r="G226" t="inlineStr">
        <is>
          <t>SKÖVDE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46281</v>
      </c>
      <c r="F227" t="inlineStr">
        <is>
          <t>VÄSTRA GÖTALANDS LÄN</t>
        </is>
      </c>
      <c r="G227" t="inlineStr">
        <is>
          <t>SKÖVDE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45742</v>
      </c>
      <c r="E228" s="1" t="n">
        <v>46281</v>
      </c>
      <c r="F228" t="inlineStr">
        <is>
          <t>VÄSTRA GÖTALANDS LÄN</t>
        </is>
      </c>
      <c r="G228" t="inlineStr">
        <is>
          <t>SKÖVDE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26733-2023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46281</v>
      </c>
      <c r="F229" t="inlineStr">
        <is>
          <t>VÄSTRA GÖTALANDS LÄN</t>
        </is>
      </c>
      <c r="G229" t="inlineStr">
        <is>
          <t>SKÖVDE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60588-2023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45259</v>
      </c>
      <c r="E230" s="1" t="n">
        <v>46281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46281</v>
      </c>
      <c r="F231" t="inlineStr">
        <is>
          <t>VÄSTRA GÖTALANDS LÄN</t>
        </is>
      </c>
      <c r="G231" t="inlineStr">
        <is>
          <t>SKÖVDE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45792</v>
      </c>
      <c r="E232" s="1" t="n">
        <v>46281</v>
      </c>
      <c r="F232" t="inlineStr">
        <is>
          <t>VÄSTRA GÖTALANDS LÄN</t>
        </is>
      </c>
      <c r="G232" t="inlineStr">
        <is>
          <t>SKÖVDE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45710</v>
      </c>
      <c r="E233" s="1" t="n">
        <v>46281</v>
      </c>
      <c r="F233" t="inlineStr">
        <is>
          <t>VÄSTRA GÖTALANDS LÄN</t>
        </is>
      </c>
      <c r="G233" t="inlineStr">
        <is>
          <t>SKÖVDE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46281</v>
      </c>
      <c r="F234" t="inlineStr">
        <is>
          <t>VÄSTRA GÖTALANDS LÄN</t>
        </is>
      </c>
      <c r="G234" t="inlineStr">
        <is>
          <t>SKÖVDE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46281</v>
      </c>
      <c r="F235" t="inlineStr">
        <is>
          <t>VÄSTRA GÖTALANDS LÄN</t>
        </is>
      </c>
      <c r="G235" t="inlineStr">
        <is>
          <t>SKÖVDE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45142</v>
      </c>
      <c r="E236" s="1" t="n">
        <v>46281</v>
      </c>
      <c r="F236" t="inlineStr">
        <is>
          <t>VÄSTRA GÖTALANDS LÄN</t>
        </is>
      </c>
      <c r="G236" t="inlineStr">
        <is>
          <t>SKÖVDE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45734</v>
      </c>
      <c r="E237" s="1" t="n">
        <v>46281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Kommuner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45796</v>
      </c>
      <c r="E238" s="1" t="n">
        <v>46281</v>
      </c>
      <c r="F238" t="inlineStr">
        <is>
          <t>VÄSTRA GÖTALANDS LÄN</t>
        </is>
      </c>
      <c r="G238" t="inlineStr">
        <is>
          <t>SKÖVDE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45334</v>
      </c>
      <c r="E239" s="1" t="n">
        <v>46281</v>
      </c>
      <c r="F239" t="inlineStr">
        <is>
          <t>VÄSTRA GÖTALANDS LÄN</t>
        </is>
      </c>
      <c r="G239" t="inlineStr">
        <is>
          <t>SKÖVDE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46281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46281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25639-2025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45800</v>
      </c>
      <c r="E242" s="1" t="n">
        <v>46281</v>
      </c>
      <c r="F242" t="inlineStr">
        <is>
          <t>VÄSTRA GÖTALANDS LÄN</t>
        </is>
      </c>
      <c r="G242" t="inlineStr">
        <is>
          <t>SKÖVDE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46281</v>
      </c>
      <c r="F243" t="inlineStr">
        <is>
          <t>VÄSTRA GÖTALANDS LÄN</t>
        </is>
      </c>
      <c r="G243" t="inlineStr">
        <is>
          <t>SKÖVDE</t>
        </is>
      </c>
      <c r="H243" t="inlineStr">
        <is>
          <t>Kommuner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25642-2025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45803</v>
      </c>
      <c r="E244" s="1" t="n">
        <v>46281</v>
      </c>
      <c r="F244" t="inlineStr">
        <is>
          <t>VÄSTRA GÖTALANDS LÄN</t>
        </is>
      </c>
      <c r="G244" t="inlineStr">
        <is>
          <t>SKÖVDE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45810</v>
      </c>
      <c r="E245" s="1" t="n">
        <v>46281</v>
      </c>
      <c r="F245" t="inlineStr">
        <is>
          <t>VÄSTRA GÖTALANDS LÄN</t>
        </is>
      </c>
      <c r="G245" t="inlineStr">
        <is>
          <t>SKÖVDE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46281</v>
      </c>
      <c r="F246" t="inlineStr">
        <is>
          <t>VÄSTRA GÖTALANDS LÄN</t>
        </is>
      </c>
      <c r="G246" t="inlineStr">
        <is>
          <t>SKÖVDE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46281</v>
      </c>
      <c r="F247" t="inlineStr">
        <is>
          <t>VÄSTRA GÖTALANDS LÄN</t>
        </is>
      </c>
      <c r="G247" t="inlineStr">
        <is>
          <t>SKÖVDE</t>
        </is>
      </c>
      <c r="I247" t="n">
        <v>12.3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45824</v>
      </c>
      <c r="E248" s="1" t="n">
        <v>46281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46281</v>
      </c>
      <c r="F249" t="inlineStr">
        <is>
          <t>VÄSTRA GÖTALANDS LÄN</t>
        </is>
      </c>
      <c r="G249" t="inlineStr">
        <is>
          <t>SKÖVDE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46281</v>
      </c>
      <c r="F250" t="inlineStr">
        <is>
          <t>VÄSTRA GÖTALANDS LÄN</t>
        </is>
      </c>
      <c r="G250" t="inlineStr">
        <is>
          <t>SKÖVDE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46281</v>
      </c>
      <c r="F251" t="inlineStr">
        <is>
          <t>VÄSTRA GÖTALANDS LÄN</t>
        </is>
      </c>
      <c r="G251" t="inlineStr">
        <is>
          <t>SKÖVDE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46281</v>
      </c>
      <c r="F252" t="inlineStr">
        <is>
          <t>VÄSTRA GÖTALANDS LÄN</t>
        </is>
      </c>
      <c r="G252" t="inlineStr">
        <is>
          <t>SKÖVDE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46281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46281</v>
      </c>
      <c r="F254" t="inlineStr">
        <is>
          <t>VÄSTRA GÖTALANDS LÄN</t>
        </is>
      </c>
      <c r="G254" t="inlineStr">
        <is>
          <t>SKÖVDE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46281</v>
      </c>
      <c r="F255" t="inlineStr">
        <is>
          <t>VÄSTRA GÖTALANDS LÄN</t>
        </is>
      </c>
      <c r="G255" t="inlineStr">
        <is>
          <t>SKÖVDE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46281</v>
      </c>
      <c r="F256" t="inlineStr">
        <is>
          <t>VÄSTRA GÖTALANDS LÄN</t>
        </is>
      </c>
      <c r="G256" t="inlineStr">
        <is>
          <t>SKÖVDE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46281</v>
      </c>
      <c r="F257" t="inlineStr">
        <is>
          <t>VÄSTRA GÖTALANDS LÄN</t>
        </is>
      </c>
      <c r="G257" t="inlineStr">
        <is>
          <t>SKÖVDE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46281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46281</v>
      </c>
      <c r="F259" t="inlineStr">
        <is>
          <t>VÄSTRA GÖTALANDS LÄN</t>
        </is>
      </c>
      <c r="G259" t="inlineStr">
        <is>
          <t>SKÖVDE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46281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46281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2026-09-16T02:00:22Z</dcterms:created>
  <dcterms:modified xmlns:dcterms="http://purl.org/dc/terms/" xmlns:xsi="http://www.w3.org/2001/XMLSchema-instance" xsi:type="dcterms:W3CDTF">2026-09-16T02:00:23Z</dcterms:modified>
</cp:coreProperties>
</file>