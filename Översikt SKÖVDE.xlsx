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46263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46263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46263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46263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46263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46263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46263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46263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46263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46263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46263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46263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46263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46263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46263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46263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46263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46263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46263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46263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45334</v>
      </c>
      <c r="E27" s="1" t="n">
        <v>46263</v>
      </c>
      <c r="F27" t="inlineStr">
        <is>
          <t>VÄSTRA GÖTALANDS LÄN</t>
        </is>
      </c>
      <c r="G27" t="inlineStr">
        <is>
          <t>SKÖVDE</t>
        </is>
      </c>
      <c r="I27" t="n">
        <v>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Stare
Flodsångare
Gulsparv</t>
        </is>
      </c>
      <c r="W27">
        <f>HYPERLINK("https://klasma.github.io/Logging_1496/artfynd/A 5656-2024 artfynd.xlsx", "A 5656-2024")</f>
        <v/>
      </c>
      <c r="X27">
        <f>HYPERLINK("https://klasma.github.io/Logging_1496/kartor/A 5656-2024 karta.png", "A 5656-2024")</f>
        <v/>
      </c>
      <c r="Y27">
        <f>HYPERLINK("https://klasma.github.io/Logging_1496/kartor_geotiff/A 5656-2024 georefererad karta.tif", "A 5656-2024")</f>
        <v/>
      </c>
      <c r="AA27">
        <f>HYPERLINK("https://klasma.github.io/Logging_1496/klagomål/A 5656-2024 FSC-klagomål.docx", "A 5656-2024")</f>
        <v/>
      </c>
      <c r="AB27">
        <f>HYPERLINK("https://klasma.github.io/Logging_1496/klagomålsmail/A 5656-2024 FSC-klagomål mail.docx", "A 5656-2024")</f>
        <v/>
      </c>
      <c r="AC27">
        <f>HYPERLINK("https://klasma.github.io/Logging_1496/tillsyn/A 5656-2024 tillsynsbegäran.docx", "A 5656-2024")</f>
        <v/>
      </c>
      <c r="AD27">
        <f>HYPERLINK("https://klasma.github.io/Logging_1496/tillsynsmail/A 5656-2024 tillsynsbegäran mail.docx", "A 5656-2024")</f>
        <v/>
      </c>
      <c r="AE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46263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46263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46263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46263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42017-2025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46263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Borsttåg
Mattlummer</t>
        </is>
      </c>
      <c r="W32">
        <f>HYPERLINK("https://klasma.github.io/Logging_1496/artfynd/A 42017-2025 artfynd.xlsx", "A 42017-2025")</f>
        <v/>
      </c>
      <c r="X32">
        <f>HYPERLINK("https://klasma.github.io/Logging_1496/kartor/A 42017-2025 karta.png", "A 42017-2025")</f>
        <v/>
      </c>
      <c r="Y32">
        <f>HYPERLINK("https://klasma.github.io/Logging_1496/kartor_geotiff/A 42017-2025 georefererad karta.tif", "A 42017-2025")</f>
        <v/>
      </c>
      <c r="AA32">
        <f>HYPERLINK("https://klasma.github.io/Logging_1496/klagomål/A 42017-2025 FSC-klagomål.docx", "A 42017-2025")</f>
        <v/>
      </c>
      <c r="AB32">
        <f>HYPERLINK("https://klasma.github.io/Logging_1496/klagomålsmail/A 42017-2025 FSC-klagomål mail.docx", "A 42017-2025")</f>
        <v/>
      </c>
      <c r="AC32">
        <f>HYPERLINK("https://klasma.github.io/Logging_1496/tillsyn/A 42017-2025 tillsynsbegäran.docx", "A 42017-2025")</f>
        <v/>
      </c>
      <c r="AD32">
        <f>HYPERLINK("https://klasma.github.io/Logging_1496/tillsynsmail/A 42017-2025 tillsynsbegäran mail.docx", "A 42017-2025")</f>
        <v/>
      </c>
    </row>
    <row r="33" ht="15" customHeight="1">
      <c r="A33" t="inlineStr">
        <is>
          <t>A 25093-2025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45800</v>
      </c>
      <c r="E33" s="1" t="n">
        <v>46263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Ask
Skogsalm</t>
        </is>
      </c>
      <c r="W33">
        <f>HYPERLINK("https://klasma.github.io/Logging_1496/artfynd/A 25093-2025 artfynd.xlsx", "A 25093-2025")</f>
        <v/>
      </c>
      <c r="X33">
        <f>HYPERLINK("https://klasma.github.io/Logging_1496/kartor/A 25093-2025 karta.png", "A 25093-2025")</f>
        <v/>
      </c>
      <c r="Y33">
        <f>HYPERLINK("https://klasma.github.io/Logging_1496/kartor_geotiff/A 25093-2025 georefererad karta.tif", "A 25093-2025")</f>
        <v/>
      </c>
      <c r="AA33">
        <f>HYPERLINK("https://klasma.github.io/Logging_1496/klagomål/A 25093-2025 FSC-klagomål.docx", "A 25093-2025")</f>
        <v/>
      </c>
      <c r="AB33">
        <f>HYPERLINK("https://klasma.github.io/Logging_1496/klagomålsmail/A 25093-2025 FSC-klagomål mail.docx", "A 25093-2025")</f>
        <v/>
      </c>
      <c r="AC33">
        <f>HYPERLINK("https://klasma.github.io/Logging_1496/tillsyn/A 25093-2025 tillsynsbegäran.docx", "A 25093-2025")</f>
        <v/>
      </c>
      <c r="AD33">
        <f>HYPERLINK("https://klasma.github.io/Logging_1496/tillsynsmail/A 25093-2025 tillsynsbegäran mail.docx", "A 25093-2025")</f>
        <v/>
      </c>
    </row>
    <row r="34" ht="15" customHeight="1">
      <c r="A34" t="inlineStr">
        <is>
          <t>A 27109-2024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45471</v>
      </c>
      <c r="E34" s="1" t="n">
        <v>46263</v>
      </c>
      <c r="F34" t="inlineStr">
        <is>
          <t>VÄSTRA GÖTALANDS LÄN</t>
        </is>
      </c>
      <c r="G34" t="inlineStr">
        <is>
          <t>SKÖVDE</t>
        </is>
      </c>
      <c r="I34" t="n">
        <v>2.7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Backstarr
Jungfrulin</t>
        </is>
      </c>
      <c r="W34">
        <f>HYPERLINK("https://klasma.github.io/Logging_1496/artfynd/A 27109-2024 artfynd.xlsx", "A 27109-2024")</f>
        <v/>
      </c>
      <c r="X34">
        <f>HYPERLINK("https://klasma.github.io/Logging_1496/kartor/A 27109-2024 karta.png", "A 27109-2024")</f>
        <v/>
      </c>
      <c r="Y34">
        <f>HYPERLINK("https://klasma.github.io/Logging_1496/kartor_geotiff/A 27109-2024 georefererad karta.tif", "A 27109-2024")</f>
        <v/>
      </c>
      <c r="AA34">
        <f>HYPERLINK("https://klasma.github.io/Logging_1496/klagomål/A 27109-2024 FSC-klagomål.docx", "A 27109-2024")</f>
        <v/>
      </c>
      <c r="AB34">
        <f>HYPERLINK("https://klasma.github.io/Logging_1496/klagomålsmail/A 27109-2024 FSC-klagomål mail.docx", "A 27109-2024")</f>
        <v/>
      </c>
      <c r="AC34">
        <f>HYPERLINK("https://klasma.github.io/Logging_1496/tillsyn/A 27109-2024 tillsynsbegäran.docx", "A 27109-2024")</f>
        <v/>
      </c>
      <c r="AD34">
        <f>HYPERLINK("https://klasma.github.io/Logging_1496/tillsynsmail/A 27109-2024 tillsynsbegäran mail.docx", "A 27109-2024")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46263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46263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46263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46263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46263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46263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0.8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Mindre hackspett
Åkergroda</t>
        </is>
      </c>
      <c r="W40">
        <f>HYPERLINK("https://klasma.github.io/Logging_1496/artfynd/A 24383-2025 artfynd.xlsx", "A 24383-2025")</f>
        <v/>
      </c>
      <c r="X40">
        <f>HYPERLINK("https://klasma.github.io/Logging_1496/kartor/A 24383-2025 karta.png", "A 24383-2025")</f>
        <v/>
      </c>
      <c r="Y40">
        <f>HYPERLINK("https://klasma.github.io/Logging_1496/kartor_geotiff/A 24383-2025 georefererad karta.tif", "A 24383-2025")</f>
        <v/>
      </c>
      <c r="AA40">
        <f>HYPERLINK("https://klasma.github.io/Logging_1496/klagomål/A 24383-2025 FSC-klagomål.docx", "A 24383-2025")</f>
        <v/>
      </c>
      <c r="AB40">
        <f>HYPERLINK("https://klasma.github.io/Logging_1496/klagomålsmail/A 24383-2025 FSC-klagomål mail.docx", "A 24383-2025")</f>
        <v/>
      </c>
      <c r="AC40">
        <f>HYPERLINK("https://klasma.github.io/Logging_1496/tillsyn/A 24383-2025 tillsynsbegäran.docx", "A 24383-2025")</f>
        <v/>
      </c>
      <c r="AD40">
        <f>HYPERLINK("https://klasma.github.io/Logging_1496/tillsynsmail/A 24383-2025 tillsynsbegäran mail.docx", "A 24383-2025")</f>
        <v/>
      </c>
      <c r="AE40">
        <f>HYPERLINK("https://klasma.github.io/Logging_1496/fåglar/A 24383-2025 prioriterade fågelarter.docx", "A 24383-2025")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46263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46263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46263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3948-2024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46263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HYPERLINK("https://klasma.github.io/Logging_1496/artfynd/A 3948-2024 artfynd.xlsx", "A 3948-2024")</f>
        <v/>
      </c>
      <c r="X44">
        <f>HYPERLINK("https://klasma.github.io/Logging_1496/kartor/A 3948-2024 karta.png", "A 3948-2024")</f>
        <v/>
      </c>
      <c r="Y44">
        <f>HYPERLINK("https://klasma.github.io/Logging_1496/kartor_geotiff/A 3948-2024 georefererad karta.tif", "A 3948-2024")</f>
        <v/>
      </c>
      <c r="AA44">
        <f>HYPERLINK("https://klasma.github.io/Logging_1496/klagomål/A 3948-2024 FSC-klagomål.docx", "A 3948-2024")</f>
        <v/>
      </c>
      <c r="AB44">
        <f>HYPERLINK("https://klasma.github.io/Logging_1496/klagomålsmail/A 3948-2024 FSC-klagomål mail.docx", "A 3948-2024")</f>
        <v/>
      </c>
      <c r="AC44">
        <f>HYPERLINK("https://klasma.github.io/Logging_1496/tillsyn/A 3948-2024 tillsynsbegäran.docx", "A 3948-2024")</f>
        <v/>
      </c>
      <c r="AD44">
        <f>HYPERLINK("https://klasma.github.io/Logging_1496/tillsynsmail/A 3948-2024 tillsynsbegäran mail.docx", "A 3948-2024")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46263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46263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46263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46263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46263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46263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46263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46263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46263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46263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46263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46263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17452-2023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46263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HYPERLINK("https://klasma.github.io/Logging_1496/artfynd/A 17452-2023 artfynd.xlsx", "A 17452-2023")</f>
        <v/>
      </c>
      <c r="X57">
        <f>HYPERLINK("https://klasma.github.io/Logging_1496/kartor/A 17452-2023 karta.png", "A 17452-2023")</f>
        <v/>
      </c>
      <c r="Y57">
        <f>HYPERLINK("https://klasma.github.io/Logging_1496/kartor_geotiff/A 17452-2023 georefererad karta.tif", "A 17452-2023")</f>
        <v/>
      </c>
      <c r="AA57">
        <f>HYPERLINK("https://klasma.github.io/Logging_1496/klagomål/A 17452-2023 FSC-klagomål.docx", "A 17452-2023")</f>
        <v/>
      </c>
      <c r="AB57">
        <f>HYPERLINK("https://klasma.github.io/Logging_1496/klagomålsmail/A 17452-2023 FSC-klagomål mail.docx", "A 17452-2023")</f>
        <v/>
      </c>
      <c r="AC57">
        <f>HYPERLINK("https://klasma.github.io/Logging_1496/tillsyn/A 17452-2023 tillsynsbegäran.docx", "A 17452-2023")</f>
        <v/>
      </c>
      <c r="AD57">
        <f>HYPERLINK("https://klasma.github.io/Logging_1496/tillsynsmail/A 17452-2023 tillsynsbegäran mail.docx", "A 17452-2023")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46263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35919-2023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46263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Svinrot</t>
        </is>
      </c>
      <c r="W59">
        <f>HYPERLINK("https://klasma.github.io/Logging_1496/artfynd/A 35919-2023 artfynd.xlsx", "A 35919-2023")</f>
        <v/>
      </c>
      <c r="X59">
        <f>HYPERLINK("https://klasma.github.io/Logging_1496/kartor/A 35919-2023 karta.png", "A 35919-2023")</f>
        <v/>
      </c>
      <c r="Y59">
        <f>HYPERLINK("https://klasma.github.io/Logging_1496/kartor_geotiff/A 35919-2023 georefererad karta.tif", "A 35919-2023")</f>
        <v/>
      </c>
      <c r="AA59">
        <f>HYPERLINK("https://klasma.github.io/Logging_1496/klagomål/A 35919-2023 FSC-klagomål.docx", "A 35919-2023")</f>
        <v/>
      </c>
      <c r="AB59">
        <f>HYPERLINK("https://klasma.github.io/Logging_1496/klagomålsmail/A 35919-2023 FSC-klagomål mail.docx", "A 35919-2023")</f>
        <v/>
      </c>
      <c r="AC59">
        <f>HYPERLINK("https://klasma.github.io/Logging_1496/tillsyn/A 35919-2023 tillsynsbegäran.docx", "A 35919-2023")</f>
        <v/>
      </c>
      <c r="AD59">
        <f>HYPERLINK("https://klasma.github.io/Logging_1496/tillsynsmail/A 35919-2023 tillsynsbegäran mail.docx", "A 35919-2023")</f>
        <v/>
      </c>
    </row>
    <row r="60" ht="15" customHeight="1">
      <c r="A60" t="inlineStr">
        <is>
          <t>A 42904-2023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46263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Grönvit nattviol</t>
        </is>
      </c>
      <c r="W60">
        <f>HYPERLINK("https://klasma.github.io/Logging_1496/artfynd/A 42904-2023 artfynd.xlsx", "A 42904-2023")</f>
        <v/>
      </c>
      <c r="X60">
        <f>HYPERLINK("https://klasma.github.io/Logging_1496/kartor/A 42904-2023 karta.png", "A 42904-2023")</f>
        <v/>
      </c>
      <c r="Y60">
        <f>HYPERLINK("https://klasma.github.io/Logging_1496/kartor_geotiff/A 42904-2023 georefererad karta.tif", "A 42904-2023")</f>
        <v/>
      </c>
      <c r="AA60">
        <f>HYPERLINK("https://klasma.github.io/Logging_1496/klagomål/A 42904-2023 FSC-klagomål.docx", "A 42904-2023")</f>
        <v/>
      </c>
      <c r="AB60">
        <f>HYPERLINK("https://klasma.github.io/Logging_1496/klagomålsmail/A 42904-2023 FSC-klagomål mail.docx", "A 42904-2023")</f>
        <v/>
      </c>
      <c r="AC60">
        <f>HYPERLINK("https://klasma.github.io/Logging_1496/tillsyn/A 42904-2023 tillsynsbegäran.docx", "A 42904-2023")</f>
        <v/>
      </c>
      <c r="AD60">
        <f>HYPERLINK("https://klasma.github.io/Logging_1496/tillsynsmail/A 42904-2023 tillsynsbegäran mail.docx", "A 42904-2023")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46263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28717-2026 artfynd.xlsx", "A 28717-2026")</f>
        <v/>
      </c>
      <c r="X61">
        <f>HYPERLINK("https://klasma.github.io/Logging_1496/kartor/A 28717-2026 karta.png", "A 28717-2026")</f>
        <v/>
      </c>
      <c r="Y61">
        <f>HYPERLINK("https://klasma.github.io/Logging_1496/kartor_geotiff/A 28717-2026 georefererad karta.tif", "A 28717-2026")</f>
        <v/>
      </c>
      <c r="AA61">
        <f>HYPERLINK("https://klasma.github.io/Logging_1496/klagomål/A 28717-2026 FSC-klagomål.docx", "A 28717-2026")</f>
        <v/>
      </c>
      <c r="AB61">
        <f>HYPERLINK("https://klasma.github.io/Logging_1496/klagomålsmail/A 28717-2026 FSC-klagomål mail.docx", "A 28717-2026")</f>
        <v/>
      </c>
      <c r="AC61">
        <f>HYPERLINK("https://klasma.github.io/Logging_1496/tillsyn/A 28717-2026 tillsynsbegäran.docx", "A 28717-2026")</f>
        <v/>
      </c>
      <c r="AD61">
        <f>HYPERLINK("https://klasma.github.io/Logging_1496/tillsynsmail/A 28717-2026 tillsynsbegäran mail.docx", "A 28717-2026")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46263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HYPERLINK("https://klasma.github.io/Logging_1496/artfynd/A 24814-2026 artfynd.xlsx", "A 24814-2026")</f>
        <v/>
      </c>
      <c r="X62">
        <f>HYPERLINK("https://klasma.github.io/Logging_1496/kartor/A 24814-2026 karta.png", "A 24814-2026")</f>
        <v/>
      </c>
      <c r="Y62">
        <f>HYPERLINK("https://klasma.github.io/Logging_1496/kartor_geotiff/A 24814-2026 georefererad karta.tif", "A 24814-2026")</f>
        <v/>
      </c>
      <c r="AA62">
        <f>HYPERLINK("https://klasma.github.io/Logging_1496/klagomål/A 24814-2026 FSC-klagomål.docx", "A 24814-2026")</f>
        <v/>
      </c>
      <c r="AB62">
        <f>HYPERLINK("https://klasma.github.io/Logging_1496/klagomålsmail/A 24814-2026 FSC-klagomål mail.docx", "A 24814-2026")</f>
        <v/>
      </c>
      <c r="AC62">
        <f>HYPERLINK("https://klasma.github.io/Logging_1496/tillsyn/A 24814-2026 tillsynsbegäran.docx", "A 24814-2026")</f>
        <v/>
      </c>
      <c r="AD62">
        <f>HYPERLINK("https://klasma.github.io/Logging_1496/tillsynsmail/A 24814-2026 tillsynsbegäran mail.docx", "A 24814-2026")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46263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46263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46263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46263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46263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46263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46263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46263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46263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46263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46263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46263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46263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46263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46263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46263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46263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46263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46263</v>
      </c>
      <c r="F83" t="inlineStr">
        <is>
          <t>VÄSTRA GÖTALANDS LÄN</t>
        </is>
      </c>
      <c r="G83" t="inlineStr">
        <is>
          <t>SKÖVDE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46263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46263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46263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46263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46263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44862</v>
      </c>
      <c r="E89" s="1" t="n">
        <v>46263</v>
      </c>
      <c r="F89" t="inlineStr">
        <is>
          <t>VÄSTRA GÖTALANDS LÄN</t>
        </is>
      </c>
      <c r="G89" t="inlineStr">
        <is>
          <t>SKÖVDE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46263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46263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46263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45299</v>
      </c>
      <c r="E93" s="1" t="n">
        <v>46263</v>
      </c>
      <c r="F93" t="inlineStr">
        <is>
          <t>VÄSTRA GÖTALANDS LÄN</t>
        </is>
      </c>
      <c r="G93" t="inlineStr">
        <is>
          <t>SKÖVDE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46263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Kyrkan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45301</v>
      </c>
      <c r="E95" s="1" t="n">
        <v>46263</v>
      </c>
      <c r="F95" t="inlineStr">
        <is>
          <t>VÄSTRA GÖTALANDS LÄN</t>
        </is>
      </c>
      <c r="G95" t="inlineStr">
        <is>
          <t>SKÖVDE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45245</v>
      </c>
      <c r="E96" s="1" t="n">
        <v>46263</v>
      </c>
      <c r="F96" t="inlineStr">
        <is>
          <t>VÄSTRA GÖTALANDS LÄN</t>
        </is>
      </c>
      <c r="G96" t="inlineStr">
        <is>
          <t>SKÖVDE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46263</v>
      </c>
      <c r="F97" t="inlineStr">
        <is>
          <t>VÄSTRA GÖTALANDS LÄN</t>
        </is>
      </c>
      <c r="G97" t="inlineStr">
        <is>
          <t>SKÖVDE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46263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46263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46263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46263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46263</v>
      </c>
      <c r="F102" t="inlineStr">
        <is>
          <t>VÄSTRA GÖTALANDS LÄN</t>
        </is>
      </c>
      <c r="G102" t="inlineStr">
        <is>
          <t>SKÖVDE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46263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46263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46263</v>
      </c>
      <c r="F105" t="inlineStr">
        <is>
          <t>VÄSTRA GÖTALANDS LÄN</t>
        </is>
      </c>
      <c r="G105" t="inlineStr">
        <is>
          <t>SKÖVDE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45709</v>
      </c>
      <c r="E106" s="1" t="n">
        <v>46263</v>
      </c>
      <c r="F106" t="inlineStr">
        <is>
          <t>VÄSTRA GÖTALANDS LÄN</t>
        </is>
      </c>
      <c r="G106" t="inlineStr">
        <is>
          <t>SKÖVDE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45314</v>
      </c>
      <c r="E107" s="1" t="n">
        <v>46263</v>
      </c>
      <c r="F107" t="inlineStr">
        <is>
          <t>VÄSTRA GÖTALANDS LÄN</t>
        </is>
      </c>
      <c r="G107" t="inlineStr">
        <is>
          <t>SKÖVDE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45306</v>
      </c>
      <c r="E108" s="1" t="n">
        <v>46263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45710</v>
      </c>
      <c r="E109" s="1" t="n">
        <v>46263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46263</v>
      </c>
      <c r="F110" t="inlineStr">
        <is>
          <t>VÄSTRA GÖTALANDS LÄN</t>
        </is>
      </c>
      <c r="G110" t="inlineStr">
        <is>
          <t>SKÖVDE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46263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46263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45142</v>
      </c>
      <c r="E113" s="1" t="n">
        <v>46263</v>
      </c>
      <c r="F113" t="inlineStr">
        <is>
          <t>VÄSTRA GÖTALANDS LÄN</t>
        </is>
      </c>
      <c r="G113" t="inlineStr">
        <is>
          <t>SKÖVDE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46263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46263</v>
      </c>
      <c r="F115" t="inlineStr">
        <is>
          <t>VÄSTRA GÖTALANDS LÄN</t>
        </is>
      </c>
      <c r="G115" t="inlineStr">
        <is>
          <t>SKÖVDE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45531</v>
      </c>
      <c r="E116" s="1" t="n">
        <v>46263</v>
      </c>
      <c r="F116" t="inlineStr">
        <is>
          <t>VÄSTRA GÖTALANDS LÄN</t>
        </is>
      </c>
      <c r="G116" t="inlineStr">
        <is>
          <t>SKÖVDE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46263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45796</v>
      </c>
      <c r="E118" s="1" t="n">
        <v>46263</v>
      </c>
      <c r="F118" t="inlineStr">
        <is>
          <t>VÄSTRA GÖTALANDS LÄN</t>
        </is>
      </c>
      <c r="G118" t="inlineStr">
        <is>
          <t>SKÖVDE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5658-2024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45334</v>
      </c>
      <c r="E119" s="1" t="n">
        <v>46263</v>
      </c>
      <c r="F119" t="inlineStr">
        <is>
          <t>VÄSTRA GÖTALANDS LÄN</t>
        </is>
      </c>
      <c r="G119" t="inlineStr">
        <is>
          <t>SKÖVDE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46263</v>
      </c>
      <c r="F120" t="inlineStr">
        <is>
          <t>VÄSTRA GÖTALANDS LÄN</t>
        </is>
      </c>
      <c r="G120" t="inlineStr">
        <is>
          <t>SKÖVDE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46263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46263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25639-2025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45800</v>
      </c>
      <c r="E123" s="1" t="n">
        <v>46263</v>
      </c>
      <c r="F123" t="inlineStr">
        <is>
          <t>VÄSTRA GÖTALANDS LÄN</t>
        </is>
      </c>
      <c r="G123" t="inlineStr">
        <is>
          <t>SKÖVDE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46263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46263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46263</v>
      </c>
      <c r="F126" t="inlineStr">
        <is>
          <t>VÄSTRA GÖTALANDS LÄN</t>
        </is>
      </c>
      <c r="G126" t="inlineStr">
        <is>
          <t>SKÖVDE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46263</v>
      </c>
      <c r="F127" t="inlineStr">
        <is>
          <t>VÄSTRA GÖTALANDS LÄN</t>
        </is>
      </c>
      <c r="G127" t="inlineStr">
        <is>
          <t>SKÖVDE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46263</v>
      </c>
      <c r="F128" t="inlineStr">
        <is>
          <t>VÄSTRA GÖTALANDS LÄN</t>
        </is>
      </c>
      <c r="G128" t="inlineStr">
        <is>
          <t>SKÖVDE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46263</v>
      </c>
      <c r="F129" t="inlineStr">
        <is>
          <t>VÄSTRA GÖTALANDS LÄN</t>
        </is>
      </c>
      <c r="G129" t="inlineStr">
        <is>
          <t>SKÖVDE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46263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46263</v>
      </c>
      <c r="F131" t="inlineStr">
        <is>
          <t>VÄSTRA GÖTALANDS LÄN</t>
        </is>
      </c>
      <c r="G131" t="inlineStr">
        <is>
          <t>SKÖVDE</t>
        </is>
      </c>
      <c r="I131" t="n">
        <v>11.8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46263</v>
      </c>
      <c r="F132" t="inlineStr">
        <is>
          <t>VÄSTRA GÖTALANDS LÄN</t>
        </is>
      </c>
      <c r="G132" t="inlineStr">
        <is>
          <t>SKÖVDE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46263</v>
      </c>
      <c r="F133" t="inlineStr">
        <is>
          <t>VÄSTRA GÖTALANDS LÄN</t>
        </is>
      </c>
      <c r="G133" t="inlineStr">
        <is>
          <t>SKÖVDE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46263</v>
      </c>
      <c r="F134" t="inlineStr">
        <is>
          <t>VÄSTRA GÖTALANDS LÄN</t>
        </is>
      </c>
      <c r="G134" t="inlineStr">
        <is>
          <t>SKÖVDE</t>
        </is>
      </c>
      <c r="I134" t="n">
        <v>12.3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45547</v>
      </c>
      <c r="E135" s="1" t="n">
        <v>46263</v>
      </c>
      <c r="F135" t="inlineStr">
        <is>
          <t>VÄSTRA GÖTALANDS LÄN</t>
        </is>
      </c>
      <c r="G135" t="inlineStr">
        <is>
          <t>SKÖVDE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46263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46263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46263</v>
      </c>
      <c r="F138" t="inlineStr">
        <is>
          <t>VÄSTRA GÖTALANDS LÄN</t>
        </is>
      </c>
      <c r="G138" t="inlineStr">
        <is>
          <t>SKÖVDE</t>
        </is>
      </c>
      <c r="H138" t="inlineStr">
        <is>
          <t>Kommuner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46263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45401</v>
      </c>
      <c r="E140" s="1" t="n">
        <v>46263</v>
      </c>
      <c r="F140" t="inlineStr">
        <is>
          <t>VÄSTRA GÖTALANDS LÄN</t>
        </is>
      </c>
      <c r="G140" t="inlineStr">
        <is>
          <t>SKÖVDE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44599</v>
      </c>
      <c r="E141" s="1" t="n">
        <v>46263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Kyrkan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46263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46263</v>
      </c>
      <c r="F143" t="inlineStr">
        <is>
          <t>VÄSTRA GÖTALANDS LÄN</t>
        </is>
      </c>
      <c r="G143" t="inlineStr">
        <is>
          <t>SKÖVDE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46263</v>
      </c>
      <c r="F144" t="inlineStr">
        <is>
          <t>VÄSTRA GÖTALANDS LÄN</t>
        </is>
      </c>
      <c r="G144" t="inlineStr">
        <is>
          <t>SKÖVDE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46263</v>
      </c>
      <c r="F145" t="inlineStr">
        <is>
          <t>VÄSTRA GÖTALANDS LÄN</t>
        </is>
      </c>
      <c r="G145" t="inlineStr">
        <is>
          <t>SKÖVDE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46263</v>
      </c>
      <c r="F146" t="inlineStr">
        <is>
          <t>VÄSTRA GÖTALANDS LÄN</t>
        </is>
      </c>
      <c r="G146" t="inlineStr">
        <is>
          <t>SKÖVDE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46263</v>
      </c>
      <c r="F147" t="inlineStr">
        <is>
          <t>VÄSTRA GÖTALANDS LÄN</t>
        </is>
      </c>
      <c r="G147" t="inlineStr">
        <is>
          <t>SKÖVDE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46263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46263</v>
      </c>
      <c r="F149" t="inlineStr">
        <is>
          <t>VÄSTRA GÖTALANDS LÄN</t>
        </is>
      </c>
      <c r="G149" t="inlineStr">
        <is>
          <t>SKÖVDE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46263</v>
      </c>
      <c r="F150" t="inlineStr">
        <is>
          <t>VÄSTRA GÖTALANDS LÄN</t>
        </is>
      </c>
      <c r="G150" t="inlineStr">
        <is>
          <t>SKÖVDE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46263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46263</v>
      </c>
      <c r="F152" t="inlineStr">
        <is>
          <t>VÄSTRA GÖTALANDS LÄN</t>
        </is>
      </c>
      <c r="G152" t="inlineStr">
        <is>
          <t>SKÖVDE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46263</v>
      </c>
      <c r="F153" t="inlineStr">
        <is>
          <t>VÄSTRA GÖTALANDS LÄN</t>
        </is>
      </c>
      <c r="G153" t="inlineStr">
        <is>
          <t>SKÖVDE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46263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46263</v>
      </c>
      <c r="F155" t="inlineStr">
        <is>
          <t>VÄSTRA GÖTALANDS LÄN</t>
        </is>
      </c>
      <c r="G155" t="inlineStr">
        <is>
          <t>SKÖVDE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46263</v>
      </c>
      <c r="F156" t="inlineStr">
        <is>
          <t>VÄSTRA GÖTALANDS LÄN</t>
        </is>
      </c>
      <c r="G156" t="inlineStr">
        <is>
          <t>SKÖVDE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46263</v>
      </c>
      <c r="F157" t="inlineStr">
        <is>
          <t>VÄSTRA GÖTALANDS LÄN</t>
        </is>
      </c>
      <c r="G157" t="inlineStr">
        <is>
          <t>SKÖVDE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44750</v>
      </c>
      <c r="E158" s="1" t="n">
        <v>46263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46263</v>
      </c>
      <c r="F159" t="inlineStr">
        <is>
          <t>VÄSTRA GÖTALANDS LÄN</t>
        </is>
      </c>
      <c r="G159" t="inlineStr">
        <is>
          <t>SKÖVDE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45590</v>
      </c>
      <c r="E160" s="1" t="n">
        <v>46263</v>
      </c>
      <c r="F160" t="inlineStr">
        <is>
          <t>VÄSTRA GÖTALANDS LÄN</t>
        </is>
      </c>
      <c r="G160" t="inlineStr">
        <is>
          <t>SKÖVDE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46263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46263</v>
      </c>
      <c r="F162" t="inlineStr">
        <is>
          <t>VÄSTRA GÖTALANDS LÄN</t>
        </is>
      </c>
      <c r="G162" t="inlineStr">
        <is>
          <t>SKÖVDE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45846</v>
      </c>
      <c r="E163" s="1" t="n">
        <v>46263</v>
      </c>
      <c r="F163" t="inlineStr">
        <is>
          <t>VÄSTRA GÖTALANDS LÄN</t>
        </is>
      </c>
      <c r="G163" t="inlineStr">
        <is>
          <t>SKÖVDE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46263</v>
      </c>
      <c r="F164" t="inlineStr">
        <is>
          <t>VÄSTRA GÖTALANDS LÄN</t>
        </is>
      </c>
      <c r="G164" t="inlineStr">
        <is>
          <t>SKÖVDE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46263</v>
      </c>
      <c r="F165" t="inlineStr">
        <is>
          <t>VÄSTRA GÖTALANDS LÄN</t>
        </is>
      </c>
      <c r="G165" t="inlineStr">
        <is>
          <t>SKÖVDE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46263</v>
      </c>
      <c r="F166" t="inlineStr">
        <is>
          <t>VÄSTRA GÖTALANDS LÄN</t>
        </is>
      </c>
      <c r="G166" t="inlineStr">
        <is>
          <t>SKÖVDE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46263</v>
      </c>
      <c r="F167" t="inlineStr">
        <is>
          <t>VÄSTRA GÖTALANDS LÄN</t>
        </is>
      </c>
      <c r="G167" t="inlineStr">
        <is>
          <t>SKÖVDE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46263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13669-2023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45006</v>
      </c>
      <c r="E169" s="1" t="n">
        <v>46263</v>
      </c>
      <c r="F169" t="inlineStr">
        <is>
          <t>VÄSTRA GÖTALANDS LÄN</t>
        </is>
      </c>
      <c r="G169" t="inlineStr">
        <is>
          <t>SKÖVDE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46263</v>
      </c>
      <c r="F170" t="inlineStr">
        <is>
          <t>VÄSTRA GÖTALANDS LÄN</t>
        </is>
      </c>
      <c r="G170" t="inlineStr">
        <is>
          <t>SKÖVDE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46263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46263</v>
      </c>
      <c r="F172" t="inlineStr">
        <is>
          <t>VÄSTRA GÖTALANDS LÄN</t>
        </is>
      </c>
      <c r="G172" t="inlineStr">
        <is>
          <t>SKÖVDE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46263</v>
      </c>
      <c r="F173" t="inlineStr">
        <is>
          <t>VÄSTRA GÖTALANDS LÄN</t>
        </is>
      </c>
      <c r="G173" t="inlineStr">
        <is>
          <t>SKÖVDE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46263</v>
      </c>
      <c r="F174" t="inlineStr">
        <is>
          <t>VÄSTRA GÖTALANDS LÄN</t>
        </is>
      </c>
      <c r="G174" t="inlineStr">
        <is>
          <t>SKÖVDE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46263</v>
      </c>
      <c r="F175" t="inlineStr">
        <is>
          <t>VÄSTRA GÖTALANDS LÄN</t>
        </is>
      </c>
      <c r="G175" t="inlineStr">
        <is>
          <t>SKÖVDE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46263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45201</v>
      </c>
      <c r="E177" s="1" t="n">
        <v>46263</v>
      </c>
      <c r="F177" t="inlineStr">
        <is>
          <t>VÄSTRA GÖTALANDS LÄN</t>
        </is>
      </c>
      <c r="G177" t="inlineStr">
        <is>
          <t>SKÖVDE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46017</v>
      </c>
      <c r="E178" s="1" t="n">
        <v>46263</v>
      </c>
      <c r="F178" t="inlineStr">
        <is>
          <t>VÄSTRA GÖTALANDS LÄN</t>
        </is>
      </c>
      <c r="G178" t="inlineStr">
        <is>
          <t>SKÖVDE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46263</v>
      </c>
      <c r="F179" t="inlineStr">
        <is>
          <t>VÄSTRA GÖTALANDS LÄN</t>
        </is>
      </c>
      <c r="G179" t="inlineStr">
        <is>
          <t>SKÖVDE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46263</v>
      </c>
      <c r="F180" t="inlineStr">
        <is>
          <t>VÄSTRA GÖTALANDS LÄN</t>
        </is>
      </c>
      <c r="G180" t="inlineStr">
        <is>
          <t>SKÖVDE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46263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46263</v>
      </c>
      <c r="F182" t="inlineStr">
        <is>
          <t>VÄSTRA GÖTALANDS LÄN</t>
        </is>
      </c>
      <c r="G182" t="inlineStr">
        <is>
          <t>SKÖVDE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46263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46052</v>
      </c>
      <c r="E184" s="1" t="n">
        <v>46263</v>
      </c>
      <c r="F184" t="inlineStr">
        <is>
          <t>VÄSTRA GÖTALANDS LÄN</t>
        </is>
      </c>
      <c r="G184" t="inlineStr">
        <is>
          <t>SKÖVDE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46263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46263</v>
      </c>
      <c r="F186" t="inlineStr">
        <is>
          <t>VÄSTRA GÖTALANDS LÄN</t>
        </is>
      </c>
      <c r="G186" t="inlineStr">
        <is>
          <t>SKÖVDE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46263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46263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46009</v>
      </c>
      <c r="E189" s="1" t="n">
        <v>46263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46263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Övriga statliga verk och myndigheter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46263</v>
      </c>
      <c r="F191" t="inlineStr">
        <is>
          <t>VÄSTRA GÖTALANDS LÄN</t>
        </is>
      </c>
      <c r="G191" t="inlineStr">
        <is>
          <t>SKÖVDE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46263</v>
      </c>
      <c r="F192" t="inlineStr">
        <is>
          <t>VÄSTRA GÖTALANDS LÄN</t>
        </is>
      </c>
      <c r="G192" t="inlineStr">
        <is>
          <t>SKÖVDE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46263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46263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44462</v>
      </c>
      <c r="E195" s="1" t="n">
        <v>46263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46263</v>
      </c>
      <c r="F196" t="inlineStr">
        <is>
          <t>VÄSTRA GÖTALANDS LÄN</t>
        </is>
      </c>
      <c r="G196" t="inlineStr">
        <is>
          <t>SKÖVDE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17798-2024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45418</v>
      </c>
      <c r="E197" s="1" t="n">
        <v>46263</v>
      </c>
      <c r="F197" t="inlineStr">
        <is>
          <t>VÄSTRA GÖTALANDS LÄN</t>
        </is>
      </c>
      <c r="G197" t="inlineStr">
        <is>
          <t>SKÖVDE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46263</v>
      </c>
      <c r="F198" t="inlineStr">
        <is>
          <t>VÄSTRA GÖTALANDS LÄN</t>
        </is>
      </c>
      <c r="G198" t="inlineStr">
        <is>
          <t>SKÖVDE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46263</v>
      </c>
      <c r="F199" t="inlineStr">
        <is>
          <t>VÄSTRA GÖTALANDS LÄN</t>
        </is>
      </c>
      <c r="G199" t="inlineStr">
        <is>
          <t>SKÖVDE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46263</v>
      </c>
      <c r="F200" t="inlineStr">
        <is>
          <t>VÄSTRA GÖTALANDS LÄN</t>
        </is>
      </c>
      <c r="G200" t="inlineStr">
        <is>
          <t>SKÖVDE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46263</v>
      </c>
      <c r="F201" t="inlineStr">
        <is>
          <t>VÄSTRA GÖTALANDS LÄN</t>
        </is>
      </c>
      <c r="G201" t="inlineStr">
        <is>
          <t>SKÖVDE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46263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45560</v>
      </c>
      <c r="E203" s="1" t="n">
        <v>46263</v>
      </c>
      <c r="F203" t="inlineStr">
        <is>
          <t>VÄSTRA GÖTALANDS LÄN</t>
        </is>
      </c>
      <c r="G203" t="inlineStr">
        <is>
          <t>SKÖVDE</t>
        </is>
      </c>
      <c r="I203" t="n">
        <v>10.1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46263</v>
      </c>
      <c r="F204" t="inlineStr">
        <is>
          <t>VÄSTRA GÖTALANDS LÄN</t>
        </is>
      </c>
      <c r="G204" t="inlineStr">
        <is>
          <t>SKÖVDE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46263</v>
      </c>
      <c r="F205" t="inlineStr">
        <is>
          <t>VÄSTRA GÖTALANDS LÄN</t>
        </is>
      </c>
      <c r="G205" t="inlineStr">
        <is>
          <t>SKÖVDE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45230</v>
      </c>
      <c r="E206" s="1" t="n">
        <v>46263</v>
      </c>
      <c r="F206" t="inlineStr">
        <is>
          <t>VÄSTRA GÖTALANDS LÄN</t>
        </is>
      </c>
      <c r="G206" t="inlineStr">
        <is>
          <t>SKÖVDE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46263</v>
      </c>
      <c r="F207" t="inlineStr">
        <is>
          <t>VÄSTRA GÖTALANDS LÄN</t>
        </is>
      </c>
      <c r="G207" t="inlineStr">
        <is>
          <t>SKÖVDE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46263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46263</v>
      </c>
      <c r="F209" t="inlineStr">
        <is>
          <t>VÄSTRA GÖTALANDS LÄN</t>
        </is>
      </c>
      <c r="G209" t="inlineStr">
        <is>
          <t>SKÖVDE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46263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45693</v>
      </c>
      <c r="E211" s="1" t="n">
        <v>46263</v>
      </c>
      <c r="F211" t="inlineStr">
        <is>
          <t>VÄSTRA GÖTALANDS LÄN</t>
        </is>
      </c>
      <c r="G211" t="inlineStr">
        <is>
          <t>SKÖVDE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45204</v>
      </c>
      <c r="E212" s="1" t="n">
        <v>46263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46263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44811</v>
      </c>
      <c r="E214" s="1" t="n">
        <v>46263</v>
      </c>
      <c r="F214" t="inlineStr">
        <is>
          <t>VÄSTRA GÖTALANDS LÄN</t>
        </is>
      </c>
      <c r="G214" t="inlineStr">
        <is>
          <t>SKÖVDE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46263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46263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46263</v>
      </c>
      <c r="F217" t="inlineStr">
        <is>
          <t>VÄSTRA GÖTALANDS LÄN</t>
        </is>
      </c>
      <c r="G217" t="inlineStr">
        <is>
          <t>SKÖVDE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44586</v>
      </c>
      <c r="E218" s="1" t="n">
        <v>46263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46263</v>
      </c>
      <c r="F219" t="inlineStr">
        <is>
          <t>VÄSTRA GÖTALANDS LÄN</t>
        </is>
      </c>
      <c r="G219" t="inlineStr">
        <is>
          <t>SKÖVDE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46263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46263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46263</v>
      </c>
      <c r="F222" t="inlineStr">
        <is>
          <t>VÄSTRA GÖTALANDS LÄN</t>
        </is>
      </c>
      <c r="G222" t="inlineStr">
        <is>
          <t>SKÖVDE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46263</v>
      </c>
      <c r="F223" t="inlineStr">
        <is>
          <t>VÄSTRA GÖTALANDS LÄN</t>
        </is>
      </c>
      <c r="G223" t="inlineStr">
        <is>
          <t>SKÖVDE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44601</v>
      </c>
      <c r="E224" s="1" t="n">
        <v>46263</v>
      </c>
      <c r="F224" t="inlineStr">
        <is>
          <t>VÄSTRA GÖTALANDS LÄN</t>
        </is>
      </c>
      <c r="G224" t="inlineStr">
        <is>
          <t>SKÖVDE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44963</v>
      </c>
      <c r="E225" s="1" t="n">
        <v>46263</v>
      </c>
      <c r="F225" t="inlineStr">
        <is>
          <t>VÄSTRA GÖTALANDS LÄN</t>
        </is>
      </c>
      <c r="G225" t="inlineStr">
        <is>
          <t>SKÖVDE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44600</v>
      </c>
      <c r="E226" s="1" t="n">
        <v>46263</v>
      </c>
      <c r="F226" t="inlineStr">
        <is>
          <t>VÄSTRA GÖTALANDS LÄN</t>
        </is>
      </c>
      <c r="G226" t="inlineStr">
        <is>
          <t>SKÖVDE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45138</v>
      </c>
      <c r="E227" s="1" t="n">
        <v>46263</v>
      </c>
      <c r="F227" t="inlineStr">
        <is>
          <t>VÄSTRA GÖTALANDS LÄN</t>
        </is>
      </c>
      <c r="G227" t="inlineStr">
        <is>
          <t>SKÖVDE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46263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46263</v>
      </c>
      <c r="F229" t="inlineStr">
        <is>
          <t>VÄSTRA GÖTALANDS LÄN</t>
        </is>
      </c>
      <c r="G229" t="inlineStr">
        <is>
          <t>SKÖVDE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67134-2021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44523</v>
      </c>
      <c r="E230" s="1" t="n">
        <v>46263</v>
      </c>
      <c r="F230" t="inlineStr">
        <is>
          <t>VÄSTRA GÖTALANDS LÄN</t>
        </is>
      </c>
      <c r="G230" t="inlineStr">
        <is>
          <t>SKÖVDE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45105</v>
      </c>
      <c r="E231" s="1" t="n">
        <v>46263</v>
      </c>
      <c r="F231" t="inlineStr">
        <is>
          <t>VÄSTRA GÖTALANDS LÄN</t>
        </is>
      </c>
      <c r="G231" t="inlineStr">
        <is>
          <t>SKÖVDE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46263</v>
      </c>
      <c r="F232" t="inlineStr">
        <is>
          <t>VÄSTRA GÖTALANDS LÄN</t>
        </is>
      </c>
      <c r="G232" t="inlineStr">
        <is>
          <t>SKÖVDE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46263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45685</v>
      </c>
      <c r="E234" s="1" t="n">
        <v>46263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60117-2021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44495</v>
      </c>
      <c r="E235" s="1" t="n">
        <v>46263</v>
      </c>
      <c r="F235" t="inlineStr">
        <is>
          <t>VÄSTRA GÖTALANDS LÄN</t>
        </is>
      </c>
      <c r="G235" t="inlineStr">
        <is>
          <t>SKÖVDE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35280-2024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45530</v>
      </c>
      <c r="E236" s="1" t="n">
        <v>46263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46263</v>
      </c>
      <c r="F237" t="inlineStr">
        <is>
          <t>VÄSTRA GÖTALANDS LÄN</t>
        </is>
      </c>
      <c r="G237" t="inlineStr">
        <is>
          <t>SKÖVDE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46263</v>
      </c>
      <c r="F238" t="inlineStr">
        <is>
          <t>VÄSTRA GÖTALANDS LÄN</t>
        </is>
      </c>
      <c r="G238" t="inlineStr">
        <is>
          <t>SKÖVDE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46263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45687</v>
      </c>
      <c r="E240" s="1" t="n">
        <v>46263</v>
      </c>
      <c r="F240" t="inlineStr">
        <is>
          <t>VÄSTRA GÖTALANDS LÄN</t>
        </is>
      </c>
      <c r="G240" t="inlineStr">
        <is>
          <t>SKÖVDE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46263</v>
      </c>
      <c r="F241" t="inlineStr">
        <is>
          <t>VÄSTRA GÖTALANDS LÄN</t>
        </is>
      </c>
      <c r="G241" t="inlineStr">
        <is>
          <t>SKÖVDE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27671-2022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44743</v>
      </c>
      <c r="E242" s="1" t="n">
        <v>46263</v>
      </c>
      <c r="F242" t="inlineStr">
        <is>
          <t>VÄSTRA GÖTALANDS LÄN</t>
        </is>
      </c>
      <c r="G242" t="inlineStr">
        <is>
          <t>SKÖVDE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46263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46263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46263</v>
      </c>
      <c r="F245" t="inlineStr">
        <is>
          <t>VÄSTRA GÖTALANDS LÄN</t>
        </is>
      </c>
      <c r="G245" t="inlineStr">
        <is>
          <t>SKÖVDE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46263</v>
      </c>
      <c r="F246" t="inlineStr">
        <is>
          <t>VÄSTRA GÖTALANDS LÄN</t>
        </is>
      </c>
      <c r="G246" t="inlineStr">
        <is>
          <t>SKÖVDE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46263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60588-2023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45259</v>
      </c>
      <c r="E248" s="1" t="n">
        <v>46263</v>
      </c>
      <c r="F248" t="inlineStr">
        <is>
          <t>VÄSTRA GÖTALANDS LÄN</t>
        </is>
      </c>
      <c r="G248" t="inlineStr">
        <is>
          <t>SKÖVDE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46263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46263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46263</v>
      </c>
      <c r="F251" t="inlineStr">
        <is>
          <t>VÄSTRA GÖTALANDS LÄN</t>
        </is>
      </c>
      <c r="G251" t="inlineStr">
        <is>
          <t>SKÖVDE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46038</v>
      </c>
      <c r="E252" s="1" t="n">
        <v>46263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46263</v>
      </c>
      <c r="F253" t="inlineStr">
        <is>
          <t>VÄSTRA GÖTALANDS LÄN</t>
        </is>
      </c>
      <c r="G253" t="inlineStr">
        <is>
          <t>SKÖVDE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46263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46182</v>
      </c>
      <c r="E255" s="1" t="n">
        <v>46263</v>
      </c>
      <c r="F255" t="inlineStr">
        <is>
          <t>VÄSTRA GÖTALANDS LÄN</t>
        </is>
      </c>
      <c r="G255" t="inlineStr">
        <is>
          <t>SKÖVDE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26914-2026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46185</v>
      </c>
      <c r="E256" s="1" t="n">
        <v>46263</v>
      </c>
      <c r="F256" t="inlineStr">
        <is>
          <t>VÄSTRA GÖTALANDS LÄN</t>
        </is>
      </c>
      <c r="G256" t="inlineStr">
        <is>
          <t>SKÖVDE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46263</v>
      </c>
      <c r="F257" t="inlineStr">
        <is>
          <t>VÄSTRA GÖTALANDS LÄN</t>
        </is>
      </c>
      <c r="G257" t="inlineStr">
        <is>
          <t>SKÖVDE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46263</v>
      </c>
      <c r="F258" t="inlineStr">
        <is>
          <t>VÄSTRA GÖTALANDS LÄN</t>
        </is>
      </c>
      <c r="G258" t="inlineStr">
        <is>
          <t>SKÖVDE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46129</v>
      </c>
      <c r="E259" s="1" t="n">
        <v>46263</v>
      </c>
      <c r="F259" t="inlineStr">
        <is>
          <t>VÄSTRA GÖTALANDS LÄN</t>
        </is>
      </c>
      <c r="G259" t="inlineStr">
        <is>
          <t>SKÖVDE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46263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46263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2026-08-29T01:53:33Z</dcterms:created>
  <dcterms:modified xmlns:dcterms="http://purl.org/dc/terms/" xmlns:xsi="http://www.w3.org/2001/XMLSchema-instance" xsi:type="dcterms:W3CDTF">2026-08-29T01:53:34Z</dcterms:modified>
</cp:coreProperties>
</file>