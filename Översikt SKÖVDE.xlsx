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46302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46302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46302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46302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46302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9281-2025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45714</v>
      </c>
      <c r="E13" s="1" t="n">
        <v>46302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2.8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Nötkråka
Talltita
Vanlig groda
Revlummer</t>
        </is>
      </c>
      <c r="W13">
        <f>HYPERLINK("https://klasma.github.io/Logging_1496/artfynd/A 9281-2025 artfynd.xlsx", "A 9281-2025")</f>
        <v/>
      </c>
      <c r="X13">
        <f>HYPERLINK("https://klasma.github.io/Logging_1496/kartor/A 9281-2025 karta.png", "A 9281-2025")</f>
        <v/>
      </c>
      <c r="Y13">
        <f>HYPERLINK("https://klasma.github.io/Logging_1496/kartor_geotiff/A 9281-2025 georefererad karta.tif", "A 9281-2025")</f>
        <v/>
      </c>
      <c r="AA13">
        <f>HYPERLINK("https://klasma.github.io/Logging_1496/klagomål/A 9281-2025 FSC-klagomål.docx", "A 9281-2025")</f>
        <v/>
      </c>
      <c r="AB13">
        <f>HYPERLINK("https://klasma.github.io/Logging_1496/klagomålsmail/A 9281-2025 FSC-klagomål mail.docx", "A 9281-2025")</f>
        <v/>
      </c>
      <c r="AC13">
        <f>HYPERLINK("https://klasma.github.io/Logging_1496/tillsyn/A 9281-2025 tillsynsbegäran.docx", "A 9281-2025")</f>
        <v/>
      </c>
      <c r="AD13">
        <f>HYPERLINK("https://klasma.github.io/Logging_1496/tillsynsmail/A 9281-2025 tillsynsbegäran mail.docx", "A 9281-2025")</f>
        <v/>
      </c>
      <c r="AE13">
        <f>HYPERLINK("https://klasma.github.io/Logging_1496/fåglar/A 9281-2025 prioriterade fågelarter.docx", "A 9281-2025")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46302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46302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46302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46302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29335-2025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46302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Svinrot
Fläcknycklar
Lopplummer (aggregat)</t>
        </is>
      </c>
      <c r="W18">
        <f>HYPERLINK("https://klasma.github.io/Logging_1496/artfynd/A 29335-2025 artfynd.xlsx", "A 29335-2025")</f>
        <v/>
      </c>
      <c r="X18">
        <f>HYPERLINK("https://klasma.github.io/Logging_1496/kartor/A 29335-2025 karta.png", "A 29335-2025")</f>
        <v/>
      </c>
      <c r="Y18">
        <f>HYPERLINK("https://klasma.github.io/Logging_1496/kartor_geotiff/A 29335-2025 georefererad karta.tif", "A 29335-2025")</f>
        <v/>
      </c>
      <c r="AA18">
        <f>HYPERLINK("https://klasma.github.io/Logging_1496/klagomål/A 29335-2025 FSC-klagomål.docx", "A 29335-2025")</f>
        <v/>
      </c>
      <c r="AB18">
        <f>HYPERLINK("https://klasma.github.io/Logging_1496/klagomålsmail/A 29335-2025 FSC-klagomål mail.docx", "A 29335-2025")</f>
        <v/>
      </c>
      <c r="AC18">
        <f>HYPERLINK("https://klasma.github.io/Logging_1496/tillsyn/A 29335-2025 tillsynsbegäran.docx", "A 29335-2025")</f>
        <v/>
      </c>
      <c r="AD18">
        <f>HYPERLINK("https://klasma.github.io/Logging_1496/tillsynsmail/A 29335-2025 tillsynsbegäran mail.docx", "A 29335-2025")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46302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46302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46302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46302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46302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46302</v>
      </c>
      <c r="F24" t="inlineStr">
        <is>
          <t>VÄSTRA GÖTALANDS LÄN</t>
        </is>
      </c>
      <c r="G24" t="inlineStr">
        <is>
          <t>SKÖVDE</t>
        </is>
      </c>
      <c r="I24" t="n">
        <v>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Skogsbräsma
Grönvit nattviol</t>
        </is>
      </c>
      <c r="W24">
        <f>HYPERLINK("https://klasma.github.io/Logging_1496/artfynd/A 39624-2026 artfynd.xlsx", "A 39624-2026")</f>
        <v/>
      </c>
      <c r="X24">
        <f>HYPERLINK("https://klasma.github.io/Logging_1496/kartor/A 39624-2026 karta.png", "A 39624-2026")</f>
        <v/>
      </c>
      <c r="Y24">
        <f>HYPERLINK("https://klasma.github.io/Logging_1496/kartor_geotiff/A 39624-2026 georefererad karta.tif", "A 39624-2026")</f>
        <v/>
      </c>
      <c r="AA24">
        <f>HYPERLINK("https://klasma.github.io/Logging_1496/klagomål/A 39624-2026 FSC-klagomål.docx", "A 39624-2026")</f>
        <v/>
      </c>
      <c r="AB24">
        <f>HYPERLINK("https://klasma.github.io/Logging_1496/klagomålsmail/A 39624-2026 FSC-klagomål mail.docx", "A 39624-2026")</f>
        <v/>
      </c>
      <c r="AC24">
        <f>HYPERLINK("https://klasma.github.io/Logging_1496/tillsyn/A 39624-2026 tillsynsbegäran.docx", "A 39624-2026")</f>
        <v/>
      </c>
      <c r="AD24">
        <f>HYPERLINK("https://klasma.github.io/Logging_1496/tillsynsmail/A 39624-2026 tillsynsbegäran mail.docx", "A 39624-2026")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46302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46302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46302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27109-2024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46302</v>
      </c>
      <c r="F28" t="inlineStr">
        <is>
          <t>VÄSTRA GÖTALANDS LÄN</t>
        </is>
      </c>
      <c r="G28" t="inlineStr">
        <is>
          <t>SKÖVDE</t>
        </is>
      </c>
      <c r="I28" t="n">
        <v>2.7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Backstarr
Jungfrulin</t>
        </is>
      </c>
      <c r="W28">
        <f>HYPERLINK("https://klasma.github.io/Logging_1496/artfynd/A 27109-2024 artfynd.xlsx", "A 27109-2024")</f>
        <v/>
      </c>
      <c r="X28">
        <f>HYPERLINK("https://klasma.github.io/Logging_1496/kartor/A 27109-2024 karta.png", "A 27109-2024")</f>
        <v/>
      </c>
      <c r="Y28">
        <f>HYPERLINK("https://klasma.github.io/Logging_1496/kartor_geotiff/A 27109-2024 georefererad karta.tif", "A 27109-2024")</f>
        <v/>
      </c>
      <c r="AA28">
        <f>HYPERLINK("https://klasma.github.io/Logging_1496/klagomål/A 27109-2024 FSC-klagomål.docx", "A 27109-2024")</f>
        <v/>
      </c>
      <c r="AB28">
        <f>HYPERLINK("https://klasma.github.io/Logging_1496/klagomålsmail/A 27109-2024 FSC-klagomål mail.docx", "A 27109-2024")</f>
        <v/>
      </c>
      <c r="AC28">
        <f>HYPERLINK("https://klasma.github.io/Logging_1496/tillsyn/A 27109-2024 tillsynsbegäran.docx", "A 27109-2024")</f>
        <v/>
      </c>
      <c r="AD28">
        <f>HYPERLINK("https://klasma.github.io/Logging_1496/tillsynsmail/A 27109-2024 tillsynsbegäran mail.docx", "A 27109-2024")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46302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46302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46302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46302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46302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58467-2024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46302</v>
      </c>
      <c r="F34" t="inlineStr">
        <is>
          <t>VÄSTRA GÖTALANDS LÄN</t>
        </is>
      </c>
      <c r="G34" t="inlineStr">
        <is>
          <t>SKÖVDE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Sommarfibbla
Mattlummer</t>
        </is>
      </c>
      <c r="W34">
        <f>HYPERLINK("https://klasma.github.io/Logging_1496/artfynd/A 58467-2024 artfynd.xlsx", "A 58467-2024")</f>
        <v/>
      </c>
      <c r="X34">
        <f>HYPERLINK("https://klasma.github.io/Logging_1496/kartor/A 58467-2024 karta.png", "A 58467-2024")</f>
        <v/>
      </c>
      <c r="Y34">
        <f>HYPERLINK("https://klasma.github.io/Logging_1496/kartor_geotiff/A 58467-2024 georefererad karta.tif", "A 58467-2024")</f>
        <v/>
      </c>
      <c r="AA34">
        <f>HYPERLINK("https://klasma.github.io/Logging_1496/klagomål/A 58467-2024 FSC-klagomål.docx", "A 58467-2024")</f>
        <v/>
      </c>
      <c r="AB34">
        <f>HYPERLINK("https://klasma.github.io/Logging_1496/klagomålsmail/A 58467-2024 FSC-klagomål mail.docx", "A 58467-2024")</f>
        <v/>
      </c>
      <c r="AC34">
        <f>HYPERLINK("https://klasma.github.io/Logging_1496/tillsyn/A 58467-2024 tillsynsbegäran.docx", "A 58467-2024")</f>
        <v/>
      </c>
      <c r="AD34">
        <f>HYPERLINK("https://klasma.github.io/Logging_1496/tillsynsmail/A 58467-2024 tillsynsbegäran mail.docx", "A 58467-2024")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46302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46302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60172-2021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44495</v>
      </c>
      <c r="E37" s="1" t="n">
        <v>46302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Skogsbräsma
Fläcknycklar</t>
        </is>
      </c>
      <c r="W37">
        <f>HYPERLINK("https://klasma.github.io/Logging_1496/artfynd/A 60172-2021 artfynd.xlsx", "A 60172-2021")</f>
        <v/>
      </c>
      <c r="X37">
        <f>HYPERLINK("https://klasma.github.io/Logging_1496/kartor/A 60172-2021 karta.png", "A 60172-2021")</f>
        <v/>
      </c>
      <c r="Y37">
        <f>HYPERLINK("https://klasma.github.io/Logging_1496/kartor_geotiff/A 60172-2021 georefererad karta.tif", "A 60172-2021")</f>
        <v/>
      </c>
      <c r="AA37">
        <f>HYPERLINK("https://klasma.github.io/Logging_1496/klagomål/A 60172-2021 FSC-klagomål.docx", "A 60172-2021")</f>
        <v/>
      </c>
      <c r="AB37">
        <f>HYPERLINK("https://klasma.github.io/Logging_1496/klagomålsmail/A 60172-2021 FSC-klagomål mail.docx", "A 60172-2021")</f>
        <v/>
      </c>
      <c r="AC37">
        <f>HYPERLINK("https://klasma.github.io/Logging_1496/tillsyn/A 60172-2021 tillsynsbegäran.docx", "A 60172-2021")</f>
        <v/>
      </c>
      <c r="AD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46302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46302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46302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Gullpudra</t>
        </is>
      </c>
      <c r="W40">
        <f>HYPERLINK("https://klasma.github.io/Logging_1496/artfynd/A 14964-2025 artfynd.xlsx", "A 14964-2025")</f>
        <v/>
      </c>
      <c r="X40">
        <f>HYPERLINK("https://klasma.github.io/Logging_1496/kartor/A 14964-2025 karta.png", "A 14964-2025")</f>
        <v/>
      </c>
      <c r="Y40">
        <f>HYPERLINK("https://klasma.github.io/Logging_1496/kartor_geotiff/A 14964-2025 georefererad karta.tif", "A 14964-2025")</f>
        <v/>
      </c>
      <c r="AA40">
        <f>HYPERLINK("https://klasma.github.io/Logging_1496/klagomål/A 14964-2025 FSC-klagomål.docx", "A 14964-2025")</f>
        <v/>
      </c>
      <c r="AB40">
        <f>HYPERLINK("https://klasma.github.io/Logging_1496/klagomålsmail/A 14964-2025 FSC-klagomål mail.docx", "A 14964-2025")</f>
        <v/>
      </c>
      <c r="AC40">
        <f>HYPERLINK("https://klasma.github.io/Logging_1496/tillsyn/A 14964-2025 tillsynsbegäran.docx", "A 14964-2025")</f>
        <v/>
      </c>
      <c r="AD40">
        <f>HYPERLINK("https://klasma.github.io/Logging_1496/tillsynsmail/A 14964-2025 tillsynsbegäran mail.docx", "A 14964-2025")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46302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46302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46302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46302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46302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46302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46302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Svinrot</t>
        </is>
      </c>
      <c r="W47">
        <f>HYPERLINK("https://klasma.github.io/Logging_1496/artfynd/A 6093-2026 artfynd.xlsx", "A 6093-2026")</f>
        <v/>
      </c>
      <c r="X47">
        <f>HYPERLINK("https://klasma.github.io/Logging_1496/kartor/A 6093-2026 karta.png", "A 6093-2026")</f>
        <v/>
      </c>
      <c r="Y47">
        <f>HYPERLINK("https://klasma.github.io/Logging_1496/kartor_geotiff/A 6093-2026 georefererad karta.tif", "A 6093-2026")</f>
        <v/>
      </c>
      <c r="AA47">
        <f>HYPERLINK("https://klasma.github.io/Logging_1496/klagomål/A 6093-2026 FSC-klagomål.docx", "A 6093-2026")</f>
        <v/>
      </c>
      <c r="AB47">
        <f>HYPERLINK("https://klasma.github.io/Logging_1496/klagomålsmail/A 6093-2026 FSC-klagomål mail.docx", "A 6093-2026")</f>
        <v/>
      </c>
      <c r="AC47">
        <f>HYPERLINK("https://klasma.github.io/Logging_1496/tillsyn/A 6093-2026 tillsynsbegäran.docx", "A 6093-2026")</f>
        <v/>
      </c>
      <c r="AD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46302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46302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46302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24814-2026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46173</v>
      </c>
      <c r="E51" s="1" t="n">
        <v>46302</v>
      </c>
      <c r="F51" t="inlineStr">
        <is>
          <t>VÄSTRA GÖTALANDS LÄN</t>
        </is>
      </c>
      <c r="G51" t="inlineStr">
        <is>
          <t>SKÖVDE</t>
        </is>
      </c>
      <c r="I51" t="n">
        <v>6.6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Vedticka</t>
        </is>
      </c>
      <c r="W51">
        <f>HYPERLINK("https://klasma.github.io/Logging_1496/artfynd/A 24814-2026 artfynd.xlsx", "A 24814-2026")</f>
        <v/>
      </c>
      <c r="X51">
        <f>HYPERLINK("https://klasma.github.io/Logging_1496/kartor/A 24814-2026 karta.png", "A 24814-2026")</f>
        <v/>
      </c>
      <c r="Y51">
        <f>HYPERLINK("https://klasma.github.io/Logging_1496/kartor_geotiff/A 24814-2026 georefererad karta.tif", "A 24814-2026")</f>
        <v/>
      </c>
      <c r="AA51">
        <f>HYPERLINK("https://klasma.github.io/Logging_1496/klagomål/A 24814-2026 FSC-klagomål.docx", "A 24814-2026")</f>
        <v/>
      </c>
      <c r="AB51">
        <f>HYPERLINK("https://klasma.github.io/Logging_1496/klagomålsmail/A 24814-2026 FSC-klagomål mail.docx", "A 24814-2026")</f>
        <v/>
      </c>
      <c r="AC51">
        <f>HYPERLINK("https://klasma.github.io/Logging_1496/tillsyn/A 24814-2026 tillsynsbegäran.docx", "A 24814-2026")</f>
        <v/>
      </c>
      <c r="AD51">
        <f>HYPERLINK("https://klasma.github.io/Logging_1496/tillsynsmail/A 24814-2026 tillsynsbegäran mail.docx", "A 24814-2026")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46302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46302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46302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46302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46302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29011-2023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46302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5.4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Skogsbräsma</t>
        </is>
      </c>
      <c r="W57">
        <f>HYPERLINK("https://klasma.github.io/Logging_1496/artfynd/A 29011-2023 artfynd.xlsx", "A 29011-2023")</f>
        <v/>
      </c>
      <c r="X57">
        <f>HYPERLINK("https://klasma.github.io/Logging_1496/kartor/A 29011-2023 karta.png", "A 29011-2023")</f>
        <v/>
      </c>
      <c r="Y57">
        <f>HYPERLINK("https://klasma.github.io/Logging_1496/kartor_geotiff/A 29011-2023 georefererad karta.tif", "A 29011-2023")</f>
        <v/>
      </c>
      <c r="AA57">
        <f>HYPERLINK("https://klasma.github.io/Logging_1496/klagomål/A 29011-2023 FSC-klagomål.docx", "A 29011-2023")</f>
        <v/>
      </c>
      <c r="AB57">
        <f>HYPERLINK("https://klasma.github.io/Logging_1496/klagomålsmail/A 29011-2023 FSC-klagomål mail.docx", "A 29011-2023")</f>
        <v/>
      </c>
      <c r="AC57">
        <f>HYPERLINK("https://klasma.github.io/Logging_1496/tillsyn/A 29011-2023 tillsynsbegäran.docx", "A 29011-2023")</f>
        <v/>
      </c>
      <c r="AD57">
        <f>HYPERLINK("https://klasma.github.io/Logging_1496/tillsynsmail/A 29011-2023 tillsynsbegäran mail.docx", "A 29011-2023")</f>
        <v/>
      </c>
    </row>
    <row r="58" ht="15" customHeight="1">
      <c r="A58" t="inlineStr">
        <is>
          <t>A 15417-2023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46302</v>
      </c>
      <c r="F58" t="inlineStr">
        <is>
          <t>VÄSTRA GÖTALANDS LÄN</t>
        </is>
      </c>
      <c r="G58" t="inlineStr">
        <is>
          <t>SKÖVDE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Gullpudra</t>
        </is>
      </c>
      <c r="W58">
        <f>HYPERLINK("https://klasma.github.io/Logging_1496/artfynd/A 15417-2023 artfynd.xlsx", "A 15417-2023")</f>
        <v/>
      </c>
      <c r="X58">
        <f>HYPERLINK("https://klasma.github.io/Logging_1496/kartor/A 15417-2023 karta.png", "A 15417-2023")</f>
        <v/>
      </c>
      <c r="Y58">
        <f>HYPERLINK("https://klasma.github.io/Logging_1496/kartor_geotiff/A 15417-2023 georefererad karta.tif", "A 15417-2023")</f>
        <v/>
      </c>
      <c r="AA58">
        <f>HYPERLINK("https://klasma.github.io/Logging_1496/klagomål/A 15417-2023 FSC-klagomål.docx", "A 15417-2023")</f>
        <v/>
      </c>
      <c r="AB58">
        <f>HYPERLINK("https://klasma.github.io/Logging_1496/klagomålsmail/A 15417-2023 FSC-klagomål mail.docx", "A 15417-2023")</f>
        <v/>
      </c>
      <c r="AC58">
        <f>HYPERLINK("https://klasma.github.io/Logging_1496/tillsyn/A 15417-2023 tillsynsbegäran.docx", "A 15417-2023")</f>
        <v/>
      </c>
      <c r="AD58">
        <f>HYPERLINK("https://klasma.github.io/Logging_1496/tillsynsmail/A 15417-2023 tillsynsbegäran mail.docx", "A 15417-2023")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46302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46302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46302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46302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46302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46302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46302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46302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46302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46302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46302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46302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46302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46302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46302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46302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46302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46302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46302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46302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46302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46302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46302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46302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46302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46302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46302</v>
      </c>
      <c r="F86" t="inlineStr">
        <is>
          <t>VÄSTRA GÖTALANDS LÄN</t>
        </is>
      </c>
      <c r="G86" t="inlineStr">
        <is>
          <t>SKÖVDE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46302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46302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46302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46302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46302</v>
      </c>
      <c r="F91" t="inlineStr">
        <is>
          <t>VÄSTRA GÖTALANDS LÄN</t>
        </is>
      </c>
      <c r="G91" t="inlineStr">
        <is>
          <t>SKÖVDE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46302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46302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46302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46302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46302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46302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46302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46302</v>
      </c>
      <c r="F99" t="inlineStr">
        <is>
          <t>VÄSTRA GÖTALANDS LÄN</t>
        </is>
      </c>
      <c r="G99" t="inlineStr">
        <is>
          <t>SKÖVDE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46302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46302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25642-2025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46302</v>
      </c>
      <c r="F102" t="inlineStr">
        <is>
          <t>VÄSTRA GÖTALANDS LÄN</t>
        </is>
      </c>
      <c r="G102" t="inlineStr">
        <is>
          <t>SKÖVDE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46302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25639-2025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45800</v>
      </c>
      <c r="E104" s="1" t="n">
        <v>46302</v>
      </c>
      <c r="F104" t="inlineStr">
        <is>
          <t>VÄSTRA GÖTALANDS LÄN</t>
        </is>
      </c>
      <c r="G104" t="inlineStr">
        <is>
          <t>SKÖVDE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46302</v>
      </c>
      <c r="F105" t="inlineStr">
        <is>
          <t>VÄSTRA GÖTALANDS LÄN</t>
        </is>
      </c>
      <c r="G105" t="inlineStr">
        <is>
          <t>SKÖVDE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46302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46302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46302</v>
      </c>
      <c r="F108" t="inlineStr">
        <is>
          <t>VÄSTRA GÖTALANDS LÄN</t>
        </is>
      </c>
      <c r="G108" t="inlineStr">
        <is>
          <t>SKÖVDE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46302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45439</v>
      </c>
      <c r="E110" s="1" t="n">
        <v>46302</v>
      </c>
      <c r="F110" t="inlineStr">
        <is>
          <t>VÄSTRA GÖTALANDS LÄN</t>
        </is>
      </c>
      <c r="G110" t="inlineStr">
        <is>
          <t>SKÖVDE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46302</v>
      </c>
      <c r="F111" t="inlineStr">
        <is>
          <t>VÄSTRA GÖTALANDS LÄN</t>
        </is>
      </c>
      <c r="G111" t="inlineStr">
        <is>
          <t>SKÖVDE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46302</v>
      </c>
      <c r="F112" t="inlineStr">
        <is>
          <t>VÄSTRA GÖTALANDS LÄN</t>
        </is>
      </c>
      <c r="G112" t="inlineStr">
        <is>
          <t>SKÖVDE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67134-2021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44523</v>
      </c>
      <c r="E113" s="1" t="n">
        <v>46302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46302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46302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46302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46302</v>
      </c>
      <c r="F117" t="inlineStr">
        <is>
          <t>VÄSTRA GÖTALANDS LÄN</t>
        </is>
      </c>
      <c r="G117" t="inlineStr">
        <is>
          <t>SKÖVDE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46302</v>
      </c>
      <c r="F118" t="inlineStr">
        <is>
          <t>VÄSTRA GÖTALANDS LÄN</t>
        </is>
      </c>
      <c r="G118" t="inlineStr">
        <is>
          <t>SKÖVDE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45385</v>
      </c>
      <c r="E119" s="1" t="n">
        <v>46302</v>
      </c>
      <c r="F119" t="inlineStr">
        <is>
          <t>VÄSTRA GÖTALANDS LÄN</t>
        </is>
      </c>
      <c r="G119" t="inlineStr">
        <is>
          <t>SKÖVDE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46302</v>
      </c>
      <c r="F120" t="inlineStr">
        <is>
          <t>VÄSTRA GÖTALANDS LÄN</t>
        </is>
      </c>
      <c r="G120" t="inlineStr">
        <is>
          <t>SKÖVDE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46302</v>
      </c>
      <c r="F121" t="inlineStr">
        <is>
          <t>VÄSTRA GÖTALANDS LÄN</t>
        </is>
      </c>
      <c r="G121" t="inlineStr">
        <is>
          <t>SKÖVDE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46052</v>
      </c>
      <c r="E122" s="1" t="n">
        <v>46302</v>
      </c>
      <c r="F122" t="inlineStr">
        <is>
          <t>VÄSTRA GÖTALANDS LÄN</t>
        </is>
      </c>
      <c r="G122" t="inlineStr">
        <is>
          <t>SKÖVDE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45992</v>
      </c>
      <c r="E123" s="1" t="n">
        <v>46302</v>
      </c>
      <c r="F123" t="inlineStr">
        <is>
          <t>VÄSTRA GÖTALANDS LÄN</t>
        </is>
      </c>
      <c r="G123" t="inlineStr">
        <is>
          <t>SKÖVDE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46010</v>
      </c>
      <c r="E124" s="1" t="n">
        <v>46302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Övriga statliga verk och myndigheter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46302</v>
      </c>
      <c r="F125" t="inlineStr">
        <is>
          <t>VÄSTRA GÖTALANDS LÄN</t>
        </is>
      </c>
      <c r="G125" t="inlineStr">
        <is>
          <t>SKÖVDE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46302</v>
      </c>
      <c r="F126" t="inlineStr">
        <is>
          <t>VÄSTRA GÖTALANDS LÄN</t>
        </is>
      </c>
      <c r="G126" t="inlineStr">
        <is>
          <t>SKÖVDE</t>
        </is>
      </c>
      <c r="H126" t="inlineStr">
        <is>
          <t>Övriga statliga verk och myndigheter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46302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Övriga statliga verk och myndigheter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63375-2025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46302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Övriga statliga verk och myndigheter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46302</v>
      </c>
      <c r="F129" t="inlineStr">
        <is>
          <t>VÄSTRA GÖTALANDS LÄN</t>
        </is>
      </c>
      <c r="G129" t="inlineStr">
        <is>
          <t>SKÖVDE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46302</v>
      </c>
      <c r="F130" t="inlineStr">
        <is>
          <t>VÄSTRA GÖTALANDS LÄN</t>
        </is>
      </c>
      <c r="G130" t="inlineStr">
        <is>
          <t>SKÖVDE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46302</v>
      </c>
      <c r="F131" t="inlineStr">
        <is>
          <t>VÄSTRA GÖTALANDS LÄN</t>
        </is>
      </c>
      <c r="G131" t="inlineStr">
        <is>
          <t>SKÖVDE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46302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46302</v>
      </c>
      <c r="F133" t="inlineStr">
        <is>
          <t>VÄSTRA GÖTALANDS LÄN</t>
        </is>
      </c>
      <c r="G133" t="inlineStr">
        <is>
          <t>SKÖVDE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46302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46302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46302</v>
      </c>
      <c r="F136" t="inlineStr">
        <is>
          <t>VÄSTRA GÖTALANDS LÄN</t>
        </is>
      </c>
      <c r="G136" t="inlineStr">
        <is>
          <t>SKÖVDE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46302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46091</v>
      </c>
      <c r="E138" s="1" t="n">
        <v>46302</v>
      </c>
      <c r="F138" t="inlineStr">
        <is>
          <t>VÄSTRA GÖTALANDS LÄN</t>
        </is>
      </c>
      <c r="G138" t="inlineStr">
        <is>
          <t>SKÖVDE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46302</v>
      </c>
      <c r="F139" t="inlineStr">
        <is>
          <t>VÄSTRA GÖTALANDS LÄN</t>
        </is>
      </c>
      <c r="G139" t="inlineStr">
        <is>
          <t>SKÖVDE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44862</v>
      </c>
      <c r="E140" s="1" t="n">
        <v>46302</v>
      </c>
      <c r="F140" t="inlineStr">
        <is>
          <t>VÄSTRA GÖTALANDS LÄN</t>
        </is>
      </c>
      <c r="G140" t="inlineStr">
        <is>
          <t>SKÖVDE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46302</v>
      </c>
      <c r="F141" t="inlineStr">
        <is>
          <t>VÄSTRA GÖTALANDS LÄN</t>
        </is>
      </c>
      <c r="G141" t="inlineStr">
        <is>
          <t>SKÖVDE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46302</v>
      </c>
      <c r="F142" t="inlineStr">
        <is>
          <t>VÄSTRA GÖTALANDS LÄN</t>
        </is>
      </c>
      <c r="G142" t="inlineStr">
        <is>
          <t>SKÖVDE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46302</v>
      </c>
      <c r="F143" t="inlineStr">
        <is>
          <t>VÄSTRA GÖTALANDS LÄN</t>
        </is>
      </c>
      <c r="G143" t="inlineStr">
        <is>
          <t>SKÖVDE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46302</v>
      </c>
      <c r="F144" t="inlineStr">
        <is>
          <t>VÄSTRA GÖTALANDS LÄN</t>
        </is>
      </c>
      <c r="G144" t="inlineStr">
        <is>
          <t>SKÖVDE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46302</v>
      </c>
      <c r="F145" t="inlineStr">
        <is>
          <t>VÄSTRA GÖTALANDS LÄN</t>
        </is>
      </c>
      <c r="G145" t="inlineStr">
        <is>
          <t>SKÖVDE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60588-2023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45259</v>
      </c>
      <c r="E146" s="1" t="n">
        <v>46302</v>
      </c>
      <c r="F146" t="inlineStr">
        <is>
          <t>VÄSTRA GÖTALANDS LÄN</t>
        </is>
      </c>
      <c r="G146" t="inlineStr">
        <is>
          <t>SKÖVDE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46302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46302</v>
      </c>
      <c r="F148" t="inlineStr">
        <is>
          <t>VÄSTRA GÖTALANDS LÄN</t>
        </is>
      </c>
      <c r="G148" t="inlineStr">
        <is>
          <t>SKÖVDE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46302</v>
      </c>
      <c r="F149" t="inlineStr">
        <is>
          <t>VÄSTRA GÖTALANDS LÄN</t>
        </is>
      </c>
      <c r="G149" t="inlineStr">
        <is>
          <t>SKÖVDE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46302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46302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46302</v>
      </c>
      <c r="F152" t="inlineStr">
        <is>
          <t>VÄSTRA GÖTALANDS LÄN</t>
        </is>
      </c>
      <c r="G152" t="inlineStr">
        <is>
          <t>SKÖVDE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46302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46302</v>
      </c>
      <c r="F154" t="inlineStr">
        <is>
          <t>VÄSTRA GÖTALANDS LÄN</t>
        </is>
      </c>
      <c r="G154" t="inlineStr">
        <is>
          <t>SKÖVDE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46302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46302</v>
      </c>
      <c r="F156" t="inlineStr">
        <is>
          <t>VÄSTRA GÖTALANDS LÄN</t>
        </is>
      </c>
      <c r="G156" t="inlineStr">
        <is>
          <t>SKÖVDE</t>
        </is>
      </c>
      <c r="I156" t="n">
        <v>11.8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46302</v>
      </c>
      <c r="F157" t="inlineStr">
        <is>
          <t>VÄSTRA GÖTALANDS LÄN</t>
        </is>
      </c>
      <c r="G157" t="inlineStr">
        <is>
          <t>SKÖVDE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46302</v>
      </c>
      <c r="F158" t="inlineStr">
        <is>
          <t>VÄSTRA GÖTALANDS LÄN</t>
        </is>
      </c>
      <c r="G158" t="inlineStr">
        <is>
          <t>SKÖVDE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46302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45685</v>
      </c>
      <c r="E160" s="1" t="n">
        <v>46302</v>
      </c>
      <c r="F160" t="inlineStr">
        <is>
          <t>VÄSTRA GÖTALANDS LÄN</t>
        </is>
      </c>
      <c r="G160" t="inlineStr">
        <is>
          <t>SKÖVDE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46302</v>
      </c>
      <c r="F161" t="inlineStr">
        <is>
          <t>VÄSTRA GÖTALANDS LÄN</t>
        </is>
      </c>
      <c r="G161" t="inlineStr">
        <is>
          <t>SKÖVDE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46302</v>
      </c>
      <c r="F162" t="inlineStr">
        <is>
          <t>VÄSTRA GÖTALANDS LÄN</t>
        </is>
      </c>
      <c r="G162" t="inlineStr">
        <is>
          <t>SKÖVDE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46302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46302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46302</v>
      </c>
      <c r="F165" t="inlineStr">
        <is>
          <t>VÄSTRA GÖTALANDS LÄN</t>
        </is>
      </c>
      <c r="G165" t="inlineStr">
        <is>
          <t>SKÖVDE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46302</v>
      </c>
      <c r="F166" t="inlineStr">
        <is>
          <t>VÄSTRA GÖTALANDS LÄN</t>
        </is>
      </c>
      <c r="G166" t="inlineStr">
        <is>
          <t>SKÖVDE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46302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46302</v>
      </c>
      <c r="F168" t="inlineStr">
        <is>
          <t>VÄSTRA GÖTALANDS LÄN</t>
        </is>
      </c>
      <c r="G168" t="inlineStr">
        <is>
          <t>SKÖVDE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46302</v>
      </c>
      <c r="F169" t="inlineStr">
        <is>
          <t>VÄSTRA GÖTALANDS LÄN</t>
        </is>
      </c>
      <c r="G169" t="inlineStr">
        <is>
          <t>SKÖVDE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46302</v>
      </c>
      <c r="F170" t="inlineStr">
        <is>
          <t>VÄSTRA GÖTALANDS LÄN</t>
        </is>
      </c>
      <c r="G170" t="inlineStr">
        <is>
          <t>SKÖVDE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46302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46302</v>
      </c>
      <c r="F172" t="inlineStr">
        <is>
          <t>VÄSTRA GÖTALANDS LÄN</t>
        </is>
      </c>
      <c r="G172" t="inlineStr">
        <is>
          <t>SKÖVDE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46302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46017</v>
      </c>
      <c r="E174" s="1" t="n">
        <v>46302</v>
      </c>
      <c r="F174" t="inlineStr">
        <is>
          <t>VÄSTRA GÖTALANDS LÄN</t>
        </is>
      </c>
      <c r="G174" t="inlineStr">
        <is>
          <t>SKÖVDE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46302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46302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46302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46302</v>
      </c>
      <c r="F178" t="inlineStr">
        <is>
          <t>VÄSTRA GÖTALANDS LÄN</t>
        </is>
      </c>
      <c r="G178" t="inlineStr">
        <is>
          <t>SKÖVDE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46038</v>
      </c>
      <c r="E179" s="1" t="n">
        <v>46302</v>
      </c>
      <c r="F179" t="inlineStr">
        <is>
          <t>VÄSTRA GÖTALANDS LÄN</t>
        </is>
      </c>
      <c r="G179" t="inlineStr">
        <is>
          <t>SKÖVDE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44586</v>
      </c>
      <c r="E180" s="1" t="n">
        <v>46302</v>
      </c>
      <c r="F180" t="inlineStr">
        <is>
          <t>VÄSTRA GÖTALANDS LÄN</t>
        </is>
      </c>
      <c r="G180" t="inlineStr">
        <is>
          <t>SKÖVDE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46174</v>
      </c>
      <c r="E181" s="1" t="n">
        <v>46302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46302</v>
      </c>
      <c r="F182" t="inlineStr">
        <is>
          <t>VÄSTRA GÖTALANDS LÄN</t>
        </is>
      </c>
      <c r="G182" t="inlineStr">
        <is>
          <t>SKÖVDE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46302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26914-2026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46185</v>
      </c>
      <c r="E184" s="1" t="n">
        <v>46302</v>
      </c>
      <c r="F184" t="inlineStr">
        <is>
          <t>VÄSTRA GÖTALANDS LÄN</t>
        </is>
      </c>
      <c r="G184" t="inlineStr">
        <is>
          <t>SKÖVDE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35280-2024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45530</v>
      </c>
      <c r="E185" s="1" t="n">
        <v>46302</v>
      </c>
      <c r="F185" t="inlineStr">
        <is>
          <t>VÄSTRA GÖTALANDS LÄN</t>
        </is>
      </c>
      <c r="G185" t="inlineStr">
        <is>
          <t>SKÖVDE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45401</v>
      </c>
      <c r="E186" s="1" t="n">
        <v>46302</v>
      </c>
      <c r="F186" t="inlineStr">
        <is>
          <t>VÄSTRA GÖTALANDS LÄN</t>
        </is>
      </c>
      <c r="G186" t="inlineStr">
        <is>
          <t>SKÖVDE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44963</v>
      </c>
      <c r="E187" s="1" t="n">
        <v>46302</v>
      </c>
      <c r="F187" t="inlineStr">
        <is>
          <t>VÄSTRA GÖTALANDS LÄN</t>
        </is>
      </c>
      <c r="G187" t="inlineStr">
        <is>
          <t>SKÖVDE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46302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45320</v>
      </c>
      <c r="E189" s="1" t="n">
        <v>46302</v>
      </c>
      <c r="F189" t="inlineStr">
        <is>
          <t>VÄSTRA GÖTALANDS LÄN</t>
        </is>
      </c>
      <c r="G189" t="inlineStr">
        <is>
          <t>SKÖVDE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60117-2021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44495</v>
      </c>
      <c r="E190" s="1" t="n">
        <v>46302</v>
      </c>
      <c r="F190" t="inlineStr">
        <is>
          <t>VÄSTRA GÖTALANDS LÄN</t>
        </is>
      </c>
      <c r="G190" t="inlineStr">
        <is>
          <t>SKÖVDE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46302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46302</v>
      </c>
      <c r="F192" t="inlineStr">
        <is>
          <t>VÄSTRA GÖTALANDS LÄN</t>
        </is>
      </c>
      <c r="G192" t="inlineStr">
        <is>
          <t>SKÖVDE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46302</v>
      </c>
      <c r="F193" t="inlineStr">
        <is>
          <t>VÄSTRA GÖTALANDS LÄN</t>
        </is>
      </c>
      <c r="G193" t="inlineStr">
        <is>
          <t>SKÖVDE</t>
        </is>
      </c>
      <c r="I193" t="n">
        <v>10.1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45693</v>
      </c>
      <c r="E194" s="1" t="n">
        <v>46302</v>
      </c>
      <c r="F194" t="inlineStr">
        <is>
          <t>VÄSTRA GÖTALANDS LÄN</t>
        </is>
      </c>
      <c r="G194" t="inlineStr">
        <is>
          <t>SKÖVDE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45306</v>
      </c>
      <c r="E195" s="1" t="n">
        <v>46302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46302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45531</v>
      </c>
      <c r="E197" s="1" t="n">
        <v>46302</v>
      </c>
      <c r="F197" t="inlineStr">
        <is>
          <t>VÄSTRA GÖTALANDS LÄN</t>
        </is>
      </c>
      <c r="G197" t="inlineStr">
        <is>
          <t>SKÖVDE</t>
        </is>
      </c>
      <c r="I197" t="n">
        <v>11.7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46302</v>
      </c>
      <c r="F198" t="inlineStr">
        <is>
          <t>VÄSTRA GÖTALANDS LÄN</t>
        </is>
      </c>
      <c r="G198" t="inlineStr">
        <is>
          <t>SKÖVDE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46302</v>
      </c>
      <c r="F199" t="inlineStr">
        <is>
          <t>VÄSTRA GÖTALANDS LÄN</t>
        </is>
      </c>
      <c r="G199" t="inlineStr">
        <is>
          <t>SKÖVDE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46302</v>
      </c>
      <c r="F200" t="inlineStr">
        <is>
          <t>VÄSTRA GÖTALANDS LÄN</t>
        </is>
      </c>
      <c r="G200" t="inlineStr">
        <is>
          <t>SKÖVDE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46302</v>
      </c>
      <c r="F201" t="inlineStr">
        <is>
          <t>VÄSTRA GÖTALANDS LÄN</t>
        </is>
      </c>
      <c r="G201" t="inlineStr">
        <is>
          <t>SKÖVDE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46129</v>
      </c>
      <c r="E202" s="1" t="n">
        <v>46302</v>
      </c>
      <c r="F202" t="inlineStr">
        <is>
          <t>VÄSTRA GÖTALANDS LÄN</t>
        </is>
      </c>
      <c r="G202" t="inlineStr">
        <is>
          <t>SKÖVDE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46302</v>
      </c>
      <c r="F203" t="inlineStr">
        <is>
          <t>VÄSTRA GÖTALANDS LÄN</t>
        </is>
      </c>
      <c r="G203" t="inlineStr">
        <is>
          <t>SKÖVDE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45013</v>
      </c>
      <c r="E204" s="1" t="n">
        <v>46302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46302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46302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13669-2023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45006</v>
      </c>
      <c r="E207" s="1" t="n">
        <v>46302</v>
      </c>
      <c r="F207" t="inlineStr">
        <is>
          <t>VÄSTRA GÖTALANDS LÄN</t>
        </is>
      </c>
      <c r="G207" t="inlineStr">
        <is>
          <t>SKÖVDE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46302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46269</v>
      </c>
      <c r="E209" s="1" t="n">
        <v>46302</v>
      </c>
      <c r="F209" t="inlineStr">
        <is>
          <t>VÄSTRA GÖTALANDS LÄN</t>
        </is>
      </c>
      <c r="G209" t="inlineStr">
        <is>
          <t>SKÖVDE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46302</v>
      </c>
      <c r="F210" t="inlineStr">
        <is>
          <t>VÄSTRA GÖTALANDS LÄN</t>
        </is>
      </c>
      <c r="G210" t="inlineStr">
        <is>
          <t>SKÖVDE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46302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46272</v>
      </c>
      <c r="E212" s="1" t="n">
        <v>46302</v>
      </c>
      <c r="F212" t="inlineStr">
        <is>
          <t>VÄSTRA GÖTALANDS LÄN</t>
        </is>
      </c>
      <c r="G212" t="inlineStr">
        <is>
          <t>SKÖVDE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44599</v>
      </c>
      <c r="E213" s="1" t="n">
        <v>46302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Kyrkan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44750</v>
      </c>
      <c r="E214" s="1" t="n">
        <v>46302</v>
      </c>
      <c r="F214" t="inlineStr">
        <is>
          <t>VÄSTRA GÖTALANDS LÄN</t>
        </is>
      </c>
      <c r="G214" t="inlineStr">
        <is>
          <t>SKÖVDE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46302</v>
      </c>
      <c r="F215" t="inlineStr">
        <is>
          <t>VÄSTRA GÖTALANDS LÄN</t>
        </is>
      </c>
      <c r="G215" t="inlineStr">
        <is>
          <t>SKÖVDE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46302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45314</v>
      </c>
      <c r="E217" s="1" t="n">
        <v>46302</v>
      </c>
      <c r="F217" t="inlineStr">
        <is>
          <t>VÄSTRA GÖTALANDS LÄN</t>
        </is>
      </c>
      <c r="G217" t="inlineStr">
        <is>
          <t>SKÖVDE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46302</v>
      </c>
      <c r="F218" t="inlineStr">
        <is>
          <t>VÄSTRA GÖTALANDS LÄN</t>
        </is>
      </c>
      <c r="G218" t="inlineStr">
        <is>
          <t>SKÖVDE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46283</v>
      </c>
      <c r="E219" s="1" t="n">
        <v>46302</v>
      </c>
      <c r="F219" t="inlineStr">
        <is>
          <t>VÄSTRA GÖTALANDS LÄN</t>
        </is>
      </c>
      <c r="G219" t="inlineStr">
        <is>
          <t>SKÖVDE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46302</v>
      </c>
      <c r="F220" t="inlineStr">
        <is>
          <t>VÄSTRA GÖTALANDS LÄN</t>
        </is>
      </c>
      <c r="G220" t="inlineStr">
        <is>
          <t>SKÖVDE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40205-2022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46302</v>
      </c>
      <c r="F221" t="inlineStr">
        <is>
          <t>VÄSTRA GÖTALANDS LÄN</t>
        </is>
      </c>
      <c r="G221" t="inlineStr">
        <is>
          <t>SKÖVDE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46288</v>
      </c>
      <c r="E222" s="1" t="n">
        <v>46302</v>
      </c>
      <c r="F222" t="inlineStr">
        <is>
          <t>VÄSTRA GÖTALANDS LÄN</t>
        </is>
      </c>
      <c r="G222" t="inlineStr">
        <is>
          <t>SKÖVDE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46302</v>
      </c>
      <c r="F223" t="inlineStr">
        <is>
          <t>VÄSTRA GÖTALANDS LÄN</t>
        </is>
      </c>
      <c r="G223" t="inlineStr">
        <is>
          <t>SKÖVDE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40374-2023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46302</v>
      </c>
      <c r="F224" t="inlineStr">
        <is>
          <t>VÄSTRA GÖTALANDS LÄN</t>
        </is>
      </c>
      <c r="G224" t="inlineStr">
        <is>
          <t>SKÖVDE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46293</v>
      </c>
      <c r="E225" s="1" t="n">
        <v>46302</v>
      </c>
      <c r="F225" t="inlineStr">
        <is>
          <t>VÄSTRA GÖTALANDS LÄN</t>
        </is>
      </c>
      <c r="G225" t="inlineStr">
        <is>
          <t>SKÖVDE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26733-2023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46302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46302</v>
      </c>
      <c r="F227" t="inlineStr">
        <is>
          <t>VÄSTRA GÖTALANDS LÄN</t>
        </is>
      </c>
      <c r="G227" t="inlineStr">
        <is>
          <t>SKÖVDE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46302</v>
      </c>
      <c r="F228" t="inlineStr">
        <is>
          <t>VÄSTRA GÖTALANDS LÄN</t>
        </is>
      </c>
      <c r="G228" t="inlineStr">
        <is>
          <t>SKÖVDE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46302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45687</v>
      </c>
      <c r="E230" s="1" t="n">
        <v>46302</v>
      </c>
      <c r="F230" t="inlineStr">
        <is>
          <t>VÄSTRA GÖTALANDS LÄN</t>
        </is>
      </c>
      <c r="G230" t="inlineStr">
        <is>
          <t>SKÖVDE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46302</v>
      </c>
      <c r="F231" t="inlineStr">
        <is>
          <t>VÄSTRA GÖTALANDS LÄN</t>
        </is>
      </c>
      <c r="G231" t="inlineStr">
        <is>
          <t>SKÖVDE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46302</v>
      </c>
      <c r="F232" t="inlineStr">
        <is>
          <t>VÄSTRA GÖTALANDS LÄN</t>
        </is>
      </c>
      <c r="G232" t="inlineStr">
        <is>
          <t>SKÖVDE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46302</v>
      </c>
      <c r="F233" t="inlineStr">
        <is>
          <t>VÄSTRA GÖTALANDS LÄN</t>
        </is>
      </c>
      <c r="G233" t="inlineStr">
        <is>
          <t>SKÖVDE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46302</v>
      </c>
      <c r="F234" t="inlineStr">
        <is>
          <t>VÄSTRA GÖTALANDS LÄN</t>
        </is>
      </c>
      <c r="G234" t="inlineStr">
        <is>
          <t>SKÖVDE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17798-2024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45418</v>
      </c>
      <c r="E235" s="1" t="n">
        <v>46302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46302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46302</v>
      </c>
      <c r="F237" t="inlineStr">
        <is>
          <t>VÄSTRA GÖTALANDS LÄN</t>
        </is>
      </c>
      <c r="G237" t="inlineStr">
        <is>
          <t>SKÖVDE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46302</v>
      </c>
      <c r="F238" t="inlineStr">
        <is>
          <t>VÄSTRA GÖTALANDS LÄN</t>
        </is>
      </c>
      <c r="G238" t="inlineStr">
        <is>
          <t>SKÖVDE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46302</v>
      </c>
      <c r="F239" t="inlineStr">
        <is>
          <t>VÄSTRA GÖTALANDS LÄN</t>
        </is>
      </c>
      <c r="G239" t="inlineStr">
        <is>
          <t>SKÖVDE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46302</v>
      </c>
      <c r="F240" t="inlineStr">
        <is>
          <t>VÄSTRA GÖTALANDS LÄN</t>
        </is>
      </c>
      <c r="G240" t="inlineStr">
        <is>
          <t>SKÖVDE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46302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44825</v>
      </c>
      <c r="E242" s="1" t="n">
        <v>46302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46302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44804</v>
      </c>
      <c r="E244" s="1" t="n">
        <v>46302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46302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46302</v>
      </c>
      <c r="F246" t="inlineStr">
        <is>
          <t>VÄSTRA GÖTALANDS LÄN</t>
        </is>
      </c>
      <c r="G246" t="inlineStr">
        <is>
          <t>SKÖVDE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46302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46302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45737</v>
      </c>
      <c r="E249" s="1" t="n">
        <v>46302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46302</v>
      </c>
      <c r="F250" t="inlineStr">
        <is>
          <t>VÄSTRA GÖTALANDS LÄN</t>
        </is>
      </c>
      <c r="G250" t="inlineStr">
        <is>
          <t>SKÖVDE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46302</v>
      </c>
      <c r="F251" t="inlineStr">
        <is>
          <t>VÄSTRA GÖTALANDS LÄN</t>
        </is>
      </c>
      <c r="G251" t="inlineStr">
        <is>
          <t>SKÖVDE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46302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46302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46302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46302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46302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46302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46302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46302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46302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46302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2026-10-07T02:08:28Z</dcterms:created>
  <dcterms:modified xmlns:dcterms="http://purl.org/dc/terms/" xmlns:xsi="http://www.w3.org/2001/XMLSchema-instance" xsi:type="dcterms:W3CDTF">2026-10-07T02:08:28Z</dcterms:modified>
</cp:coreProperties>
</file>