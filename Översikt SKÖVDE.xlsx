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46284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46284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46284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46284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46284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46284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46284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46284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46284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46284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46284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46284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46284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46284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46284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46284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44837</v>
      </c>
      <c r="E24" s="1" t="n">
        <v>46284</v>
      </c>
      <c r="F24" t="inlineStr">
        <is>
          <t>VÄSTRA GÖTALANDS LÄN</t>
        </is>
      </c>
      <c r="G24" t="inlineStr">
        <is>
          <t>SKÖVDE</t>
        </is>
      </c>
      <c r="I24" t="n">
        <v>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Gullklöver
Strandlummer
Mattlummer</t>
        </is>
      </c>
      <c r="W24">
        <f>HYPERLINK("https://klasma.github.io/Logging_1496/artfynd/A 43859-2022 artfynd.xlsx", "A 43859-2022")</f>
        <v/>
      </c>
      <c r="X24">
        <f>HYPERLINK("https://klasma.github.io/Logging_1496/kartor/A 43859-2022 karta.png", "A 43859-2022")</f>
        <v/>
      </c>
      <c r="Y24">
        <f>HYPERLINK("https://klasma.github.io/Logging_1496/kartor_geotiff/A 43859-2022 georefererad karta.tif", "A 43859-2022")</f>
        <v/>
      </c>
      <c r="AA24">
        <f>HYPERLINK("https://klasma.github.io/Logging_1496/klagomål/A 43859-2022 FSC-klagomål.docx", "A 43859-2022")</f>
        <v/>
      </c>
      <c r="AB24">
        <f>HYPERLINK("https://klasma.github.io/Logging_1496/klagomålsmail/A 43859-2022 FSC-klagomål mail.docx", "A 43859-2022")</f>
        <v/>
      </c>
      <c r="AC24">
        <f>HYPERLINK("https://klasma.github.io/Logging_1496/tillsyn/A 43859-2022 tillsynsbegäran.docx", "A 43859-2022")</f>
        <v/>
      </c>
      <c r="AD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46284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46284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0.7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Svinrot
Fläcknycklar
Lopplummer (aggregat)</t>
        </is>
      </c>
      <c r="W26">
        <f>HYPERLINK("https://klasma.github.io/Logging_1496/artfynd/A 29335-2025 artfynd.xlsx", "A 29335-2025")</f>
        <v/>
      </c>
      <c r="X26">
        <f>HYPERLINK("https://klasma.github.io/Logging_1496/kartor/A 29335-2025 karta.png", "A 29335-2025")</f>
        <v/>
      </c>
      <c r="Y26">
        <f>HYPERLINK("https://klasma.github.io/Logging_1496/kartor_geotiff/A 29335-2025 georefererad karta.tif", "A 29335-2025")</f>
        <v/>
      </c>
      <c r="AA26">
        <f>HYPERLINK("https://klasma.github.io/Logging_1496/klagomål/A 29335-2025 FSC-klagomål.docx", "A 29335-2025")</f>
        <v/>
      </c>
      <c r="AB26">
        <f>HYPERLINK("https://klasma.github.io/Logging_1496/klagomålsmail/A 29335-2025 FSC-klagomål mail.docx", "A 29335-2025")</f>
        <v/>
      </c>
      <c r="AC26">
        <f>HYPERLINK("https://klasma.github.io/Logging_1496/tillsyn/A 29335-2025 tillsynsbegäran.docx", "A 29335-2025")</f>
        <v/>
      </c>
      <c r="AD26">
        <f>HYPERLINK("https://klasma.github.io/Logging_1496/tillsynsmail/A 29335-2025 tillsynsbegäran mail.docx", "A 29335-2025")</f>
        <v/>
      </c>
    </row>
    <row r="27" ht="15" customHeight="1">
      <c r="A27" t="inlineStr">
        <is>
          <t>A 24996-2025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46284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Granbronssopp
Fjällig taggsvamp s.str.</t>
        </is>
      </c>
      <c r="W27">
        <f>HYPERLINK("https://klasma.github.io/Logging_1496/artfynd/A 24996-2025 artfynd.xlsx", "A 24996-2025")</f>
        <v/>
      </c>
      <c r="X27">
        <f>HYPERLINK("https://klasma.github.io/Logging_1496/kartor/A 24996-2025 karta.png", "A 24996-2025")</f>
        <v/>
      </c>
      <c r="Y27">
        <f>HYPERLINK("https://klasma.github.io/Logging_1496/kartor_geotiff/A 24996-2025 georefererad karta.tif", "A 24996-2025")</f>
        <v/>
      </c>
      <c r="AA27">
        <f>HYPERLINK("https://klasma.github.io/Logging_1496/klagomål/A 24996-2025 FSC-klagomål.docx", "A 24996-2025")</f>
        <v/>
      </c>
      <c r="AB27">
        <f>HYPERLINK("https://klasma.github.io/Logging_1496/klagomålsmail/A 24996-2025 FSC-klagomål mail.docx", "A 24996-2025")</f>
        <v/>
      </c>
      <c r="AC27">
        <f>HYPERLINK("https://klasma.github.io/Logging_1496/tillsyn/A 24996-2025 tillsynsbegäran.docx", "A 24996-2025")</f>
        <v/>
      </c>
      <c r="AD27">
        <f>HYPERLINK("https://klasma.github.io/Logging_1496/tillsynsmail/A 24996-2025 tillsynsbegäran mail.docx", "A 24996-2025")</f>
        <v/>
      </c>
    </row>
    <row r="28" ht="15" customHeight="1">
      <c r="A28" t="inlineStr">
        <is>
          <t>A 42017-2025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45903</v>
      </c>
      <c r="E28" s="1" t="n">
        <v>46284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Borsttåg
Mattlummer</t>
        </is>
      </c>
      <c r="W28">
        <f>HYPERLINK("https://klasma.github.io/Logging_1496/artfynd/A 42017-2025 artfynd.xlsx", "A 42017-2025")</f>
        <v/>
      </c>
      <c r="X28">
        <f>HYPERLINK("https://klasma.github.io/Logging_1496/kartor/A 42017-2025 karta.png", "A 42017-2025")</f>
        <v/>
      </c>
      <c r="Y28">
        <f>HYPERLINK("https://klasma.github.io/Logging_1496/kartor_geotiff/A 42017-2025 georefererad karta.tif", "A 42017-2025")</f>
        <v/>
      </c>
      <c r="AA28">
        <f>HYPERLINK("https://klasma.github.io/Logging_1496/klagomål/A 42017-2025 FSC-klagomål.docx", "A 42017-2025")</f>
        <v/>
      </c>
      <c r="AB28">
        <f>HYPERLINK("https://klasma.github.io/Logging_1496/klagomålsmail/A 42017-2025 FSC-klagomål mail.docx", "A 42017-2025")</f>
        <v/>
      </c>
      <c r="AC28">
        <f>HYPERLINK("https://klasma.github.io/Logging_1496/tillsyn/A 42017-2025 tillsynsbegäran.docx", "A 42017-2025")</f>
        <v/>
      </c>
      <c r="AD28">
        <f>HYPERLINK("https://klasma.github.io/Logging_1496/tillsynsmail/A 42017-2025 tillsynsbegäran mail.docx", "A 42017-2025")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46284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46284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46284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46284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46284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46284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46284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46284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46284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27109-2024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46284</v>
      </c>
      <c r="F38" t="inlineStr">
        <is>
          <t>VÄSTRA GÖTALANDS LÄN</t>
        </is>
      </c>
      <c r="G38" t="inlineStr">
        <is>
          <t>SKÖVDE</t>
        </is>
      </c>
      <c r="I38" t="n">
        <v>2.7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Backstarr
Jungfrulin</t>
        </is>
      </c>
      <c r="W38">
        <f>HYPERLINK("https://klasma.github.io/Logging_1496/artfynd/A 27109-2024 artfynd.xlsx", "A 27109-2024")</f>
        <v/>
      </c>
      <c r="X38">
        <f>HYPERLINK("https://klasma.github.io/Logging_1496/kartor/A 27109-2024 karta.png", "A 27109-2024")</f>
        <v/>
      </c>
      <c r="Y38">
        <f>HYPERLINK("https://klasma.github.io/Logging_1496/kartor_geotiff/A 27109-2024 georefererad karta.tif", "A 27109-2024")</f>
        <v/>
      </c>
      <c r="AA38">
        <f>HYPERLINK("https://klasma.github.io/Logging_1496/klagomål/A 27109-2024 FSC-klagomål.docx", "A 27109-2024")</f>
        <v/>
      </c>
      <c r="AB38">
        <f>HYPERLINK("https://klasma.github.io/Logging_1496/klagomålsmail/A 27109-2024 FSC-klagomål mail.docx", "A 27109-2024")</f>
        <v/>
      </c>
      <c r="AC38">
        <f>HYPERLINK("https://klasma.github.io/Logging_1496/tillsyn/A 27109-2024 tillsynsbegäran.docx", "A 27109-2024")</f>
        <v/>
      </c>
      <c r="AD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46284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46284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46284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46284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46284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46284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46284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46284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46284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28717-2026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46198</v>
      </c>
      <c r="E49" s="1" t="n">
        <v>46284</v>
      </c>
      <c r="F49" t="inlineStr">
        <is>
          <t>VÄSTRA GÖTALANDS LÄN</t>
        </is>
      </c>
      <c r="G49" t="inlineStr">
        <is>
          <t>SKÖVDE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28717-2026 artfynd.xlsx", "A 28717-2026")</f>
        <v/>
      </c>
      <c r="X49">
        <f>HYPERLINK("https://klasma.github.io/Logging_1496/kartor/A 28717-2026 karta.png", "A 28717-2026")</f>
        <v/>
      </c>
      <c r="Y49">
        <f>HYPERLINK("https://klasma.github.io/Logging_1496/kartor_geotiff/A 28717-2026 georefererad karta.tif", "A 28717-2026")</f>
        <v/>
      </c>
      <c r="AA49">
        <f>HYPERLINK("https://klasma.github.io/Logging_1496/klagomål/A 28717-2026 FSC-klagomål.docx", "A 28717-2026")</f>
        <v/>
      </c>
      <c r="AB49">
        <f>HYPERLINK("https://klasma.github.io/Logging_1496/klagomålsmail/A 28717-2026 FSC-klagomål mail.docx", "A 28717-2026")</f>
        <v/>
      </c>
      <c r="AC49">
        <f>HYPERLINK("https://klasma.github.io/Logging_1496/tillsyn/A 28717-2026 tillsynsbegäran.docx", "A 28717-2026")</f>
        <v/>
      </c>
      <c r="AD49">
        <f>HYPERLINK("https://klasma.github.io/Logging_1496/tillsynsmail/A 28717-2026 tillsynsbegäran mail.docx", "A 28717-2026")</f>
        <v/>
      </c>
    </row>
    <row r="50" ht="15" customHeight="1">
      <c r="A50" t="inlineStr">
        <is>
          <t>A 61213-2024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46284</v>
      </c>
      <c r="F50" t="inlineStr">
        <is>
          <t>VÄSTRA GÖTALANDS LÄN</t>
        </is>
      </c>
      <c r="G50" t="inlineStr">
        <is>
          <t>SKÖVDE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61213-2024 artfynd.xlsx", "A 61213-2024")</f>
        <v/>
      </c>
      <c r="X50">
        <f>HYPERLINK("https://klasma.github.io/Logging_1496/kartor/A 61213-2024 karta.png", "A 61213-2024")</f>
        <v/>
      </c>
      <c r="Y50">
        <f>HYPERLINK("https://klasma.github.io/Logging_1496/kartor_geotiff/A 61213-2024 georefererad karta.tif", "A 61213-2024")</f>
        <v/>
      </c>
      <c r="AA50">
        <f>HYPERLINK("https://klasma.github.io/Logging_1496/klagomål/A 61213-2024 FSC-klagomål.docx", "A 61213-2024")</f>
        <v/>
      </c>
      <c r="AB50">
        <f>HYPERLINK("https://klasma.github.io/Logging_1496/klagomålsmail/A 61213-2024 FSC-klagomål mail.docx", "A 61213-2024")</f>
        <v/>
      </c>
      <c r="AC50">
        <f>HYPERLINK("https://klasma.github.io/Logging_1496/tillsyn/A 61213-2024 tillsynsbegäran.docx", "A 61213-2024")</f>
        <v/>
      </c>
      <c r="AD50">
        <f>HYPERLINK("https://klasma.github.io/Logging_1496/tillsynsmail/A 61213-2024 tillsynsbegäran mail.docx", "A 61213-2024")</f>
        <v/>
      </c>
    </row>
    <row r="51" ht="15" customHeight="1">
      <c r="A51" t="inlineStr">
        <is>
          <t>A 42904-2023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46284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HYPERLINK("https://klasma.github.io/Logging_1496/artfynd/A 42904-2023 artfynd.xlsx", "A 42904-2023")</f>
        <v/>
      </c>
      <c r="X51">
        <f>HYPERLINK("https://klasma.github.io/Logging_1496/kartor/A 42904-2023 karta.png", "A 42904-2023")</f>
        <v/>
      </c>
      <c r="Y51">
        <f>HYPERLINK("https://klasma.github.io/Logging_1496/kartor_geotiff/A 42904-2023 georefererad karta.tif", "A 42904-2023")</f>
        <v/>
      </c>
      <c r="AA51">
        <f>HYPERLINK("https://klasma.github.io/Logging_1496/klagomål/A 42904-2023 FSC-klagomål.docx", "A 42904-2023")</f>
        <v/>
      </c>
      <c r="AB51">
        <f>HYPERLINK("https://klasma.github.io/Logging_1496/klagomålsmail/A 42904-2023 FSC-klagomål mail.docx", "A 42904-2023")</f>
        <v/>
      </c>
      <c r="AC51">
        <f>HYPERLINK("https://klasma.github.io/Logging_1496/tillsyn/A 42904-2023 tillsynsbegäran.docx", "A 42904-2023")</f>
        <v/>
      </c>
      <c r="AD51">
        <f>HYPERLINK("https://klasma.github.io/Logging_1496/tillsynsmail/A 42904-2023 tillsynsbegäran mail.docx", "A 42904-2023")</f>
        <v/>
      </c>
    </row>
    <row r="52" ht="15" customHeight="1">
      <c r="A52" t="inlineStr">
        <is>
          <t>A 52377-2023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45224</v>
      </c>
      <c r="E52" s="1" t="n">
        <v>46284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Kransrams</t>
        </is>
      </c>
      <c r="W52">
        <f>HYPERLINK("https://klasma.github.io/Logging_1496/artfynd/A 52377-2023 artfynd.xlsx", "A 52377-2023")</f>
        <v/>
      </c>
      <c r="X52">
        <f>HYPERLINK("https://klasma.github.io/Logging_1496/kartor/A 52377-2023 karta.png", "A 52377-2023")</f>
        <v/>
      </c>
      <c r="Y52">
        <f>HYPERLINK("https://klasma.github.io/Logging_1496/kartor_geotiff/A 52377-2023 georefererad karta.tif", "A 52377-2023")</f>
        <v/>
      </c>
      <c r="AA52">
        <f>HYPERLINK("https://klasma.github.io/Logging_1496/klagomål/A 52377-2023 FSC-klagomål.docx", "A 52377-2023")</f>
        <v/>
      </c>
      <c r="AB52">
        <f>HYPERLINK("https://klasma.github.io/Logging_1496/klagomålsmail/A 52377-2023 FSC-klagomål mail.docx", "A 52377-2023")</f>
        <v/>
      </c>
      <c r="AC52">
        <f>HYPERLINK("https://klasma.github.io/Logging_1496/tillsyn/A 52377-2023 tillsynsbegäran.docx", "A 52377-2023")</f>
        <v/>
      </c>
      <c r="AD52">
        <f>HYPERLINK("https://klasma.github.io/Logging_1496/tillsynsmail/A 52377-2023 tillsynsbegäran mail.docx", "A 52377-2023")</f>
        <v/>
      </c>
    </row>
    <row r="53" ht="15" customHeight="1">
      <c r="A53" t="inlineStr">
        <is>
          <t>A 4464-2026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46045</v>
      </c>
      <c r="E53" s="1" t="n">
        <v>46284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Myskmadra</t>
        </is>
      </c>
      <c r="W53">
        <f>HYPERLINK("https://klasma.github.io/Logging_1496/artfynd/A 4464-2026 artfynd.xlsx", "A 4464-2026")</f>
        <v/>
      </c>
      <c r="X53">
        <f>HYPERLINK("https://klasma.github.io/Logging_1496/kartor/A 4464-2026 karta.png", "A 4464-2026")</f>
        <v/>
      </c>
      <c r="Y53">
        <f>HYPERLINK("https://klasma.github.io/Logging_1496/kartor_geotiff/A 4464-2026 georefererad karta.tif", "A 4464-2026")</f>
        <v/>
      </c>
      <c r="AA53">
        <f>HYPERLINK("https://klasma.github.io/Logging_1496/klagomål/A 4464-2026 FSC-klagomål.docx", "A 4464-2026")</f>
        <v/>
      </c>
      <c r="AB53">
        <f>HYPERLINK("https://klasma.github.io/Logging_1496/klagomålsmail/A 4464-2026 FSC-klagomål mail.docx", "A 4464-2026")</f>
        <v/>
      </c>
      <c r="AC53">
        <f>HYPERLINK("https://klasma.github.io/Logging_1496/tillsyn/A 4464-2026 tillsynsbegäran.docx", "A 4464-2026")</f>
        <v/>
      </c>
      <c r="AD53">
        <f>HYPERLINK("https://klasma.github.io/Logging_1496/tillsynsmail/A 4464-2026 tillsynsbegäran mail.docx", "A 4464-2026")</f>
        <v/>
      </c>
    </row>
    <row r="54" ht="15" customHeight="1">
      <c r="A54" t="inlineStr">
        <is>
          <t>A 6093-2026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46052</v>
      </c>
      <c r="E54" s="1" t="n">
        <v>46284</v>
      </c>
      <c r="F54" t="inlineStr">
        <is>
          <t>VÄSTRA GÖTALANDS LÄN</t>
        </is>
      </c>
      <c r="G54" t="inlineStr">
        <is>
          <t>SKÖVDE</t>
        </is>
      </c>
      <c r="I54" t="n">
        <v>5.8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Svinrot</t>
        </is>
      </c>
      <c r="W54">
        <f>HYPERLINK("https://klasma.github.io/Logging_1496/artfynd/A 6093-2026 artfynd.xlsx", "A 6093-2026")</f>
        <v/>
      </c>
      <c r="X54">
        <f>HYPERLINK("https://klasma.github.io/Logging_1496/kartor/A 6093-2026 karta.png", "A 6093-2026")</f>
        <v/>
      </c>
      <c r="Y54">
        <f>HYPERLINK("https://klasma.github.io/Logging_1496/kartor_geotiff/A 6093-2026 georefererad karta.tif", "A 6093-2026")</f>
        <v/>
      </c>
      <c r="AA54">
        <f>HYPERLINK("https://klasma.github.io/Logging_1496/klagomål/A 6093-2026 FSC-klagomål.docx", "A 6093-2026")</f>
        <v/>
      </c>
      <c r="AB54">
        <f>HYPERLINK("https://klasma.github.io/Logging_1496/klagomålsmail/A 6093-2026 FSC-klagomål mail.docx", "A 6093-2026")</f>
        <v/>
      </c>
      <c r="AC54">
        <f>HYPERLINK("https://klasma.github.io/Logging_1496/tillsyn/A 6093-2026 tillsynsbegäran.docx", "A 6093-2026")</f>
        <v/>
      </c>
      <c r="AD54">
        <f>HYPERLINK("https://klasma.github.io/Logging_1496/tillsynsmail/A 6093-2026 tillsynsbegäran mail.docx", "A 6093-2026")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46284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46284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46284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46284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3948-2024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46284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HYPERLINK("https://klasma.github.io/Logging_1496/artfynd/A 3948-2024 artfynd.xlsx", "A 3948-2024")</f>
        <v/>
      </c>
      <c r="X59">
        <f>HYPERLINK("https://klasma.github.io/Logging_1496/kartor/A 3948-2024 karta.png", "A 3948-2024")</f>
        <v/>
      </c>
      <c r="Y59">
        <f>HYPERLINK("https://klasma.github.io/Logging_1496/kartor_geotiff/A 3948-2024 georefererad karta.tif", "A 3948-2024")</f>
        <v/>
      </c>
      <c r="AA59">
        <f>HYPERLINK("https://klasma.github.io/Logging_1496/klagomål/A 3948-2024 FSC-klagomål.docx", "A 3948-2024")</f>
        <v/>
      </c>
      <c r="AB59">
        <f>HYPERLINK("https://klasma.github.io/Logging_1496/klagomålsmail/A 3948-2024 FSC-klagomål mail.docx", "A 3948-2024")</f>
        <v/>
      </c>
      <c r="AC59">
        <f>HYPERLINK("https://klasma.github.io/Logging_1496/tillsyn/A 3948-2024 tillsynsbegäran.docx", "A 3948-2024")</f>
        <v/>
      </c>
      <c r="AD59">
        <f>HYPERLINK("https://klasma.github.io/Logging_1496/tillsynsmail/A 3948-2024 tillsynsbegäran mail.docx", "A 3948-2024")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46284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46284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46284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46284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46284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46284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46284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46284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46284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46284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46284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46284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46284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46284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46284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46284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46284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46284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46284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46284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46284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46284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46284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46284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46284</v>
      </c>
      <c r="F86" t="inlineStr">
        <is>
          <t>VÄSTRA GÖTALANDS LÄN</t>
        </is>
      </c>
      <c r="G86" t="inlineStr">
        <is>
          <t>SKÖVDE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46284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46284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46284</v>
      </c>
      <c r="F89" t="inlineStr">
        <is>
          <t>VÄSTRA GÖTALANDS LÄN</t>
        </is>
      </c>
      <c r="G89" t="inlineStr">
        <is>
          <t>SKÖVDE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46284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46284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46284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44601</v>
      </c>
      <c r="E93" s="1" t="n">
        <v>46284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46284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45539</v>
      </c>
      <c r="E95" s="1" t="n">
        <v>46284</v>
      </c>
      <c r="F95" t="inlineStr">
        <is>
          <t>VÄSTRA GÖTALANDS LÄN</t>
        </is>
      </c>
      <c r="G95" t="inlineStr">
        <is>
          <t>SKÖVDE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46284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46284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46284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46284</v>
      </c>
      <c r="F99" t="inlineStr">
        <is>
          <t>VÄSTRA GÖTALANDS LÄN</t>
        </is>
      </c>
      <c r="G99" t="inlineStr">
        <is>
          <t>SKÖVDE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46284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46284</v>
      </c>
      <c r="F101" t="inlineStr">
        <is>
          <t>VÄSTRA GÖTALANDS LÄN</t>
        </is>
      </c>
      <c r="G101" t="inlineStr">
        <is>
          <t>SKÖVDE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46284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46284</v>
      </c>
      <c r="F103" t="inlineStr">
        <is>
          <t>VÄSTRA GÖTALANDS LÄN</t>
        </is>
      </c>
      <c r="G103" t="inlineStr">
        <is>
          <t>SKÖVDE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46284</v>
      </c>
      <c r="F104" t="inlineStr">
        <is>
          <t>VÄSTRA GÖTALANDS LÄN</t>
        </is>
      </c>
      <c r="G104" t="inlineStr">
        <is>
          <t>SKÖVDE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60588-2023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45259</v>
      </c>
      <c r="E105" s="1" t="n">
        <v>46284</v>
      </c>
      <c r="F105" t="inlineStr">
        <is>
          <t>VÄSTRA GÖTALANDS LÄN</t>
        </is>
      </c>
      <c r="G105" t="inlineStr">
        <is>
          <t>SKÖVDE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46284</v>
      </c>
      <c r="F106" t="inlineStr">
        <is>
          <t>VÄSTRA GÖTALANDS LÄN</t>
        </is>
      </c>
      <c r="G106" t="inlineStr">
        <is>
          <t>SKÖVDE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46284</v>
      </c>
      <c r="F107" t="inlineStr">
        <is>
          <t>VÄSTRA GÖTALANDS LÄN</t>
        </is>
      </c>
      <c r="G107" t="inlineStr">
        <is>
          <t>SKÖVDE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45670</v>
      </c>
      <c r="E108" s="1" t="n">
        <v>46284</v>
      </c>
      <c r="F108" t="inlineStr">
        <is>
          <t>VÄSTRA GÖTALANDS LÄN</t>
        </is>
      </c>
      <c r="G108" t="inlineStr">
        <is>
          <t>SKÖVDE</t>
        </is>
      </c>
      <c r="I108" t="n">
        <v>11.8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46284</v>
      </c>
      <c r="F109" t="inlineStr">
        <is>
          <t>VÄSTRA GÖTALANDS LÄN</t>
        </is>
      </c>
      <c r="G109" t="inlineStr">
        <is>
          <t>SKÖVDE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46284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46284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46284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46284</v>
      </c>
      <c r="F113" t="inlineStr">
        <is>
          <t>VÄSTRA GÖTALANDS LÄN</t>
        </is>
      </c>
      <c r="G113" t="inlineStr">
        <is>
          <t>SKÖVDE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46284</v>
      </c>
      <c r="F114" t="inlineStr">
        <is>
          <t>VÄSTRA GÖTALANDS LÄN</t>
        </is>
      </c>
      <c r="G114" t="inlineStr">
        <is>
          <t>SKÖVDE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46284</v>
      </c>
      <c r="F115" t="inlineStr">
        <is>
          <t>VÄSTRA GÖTALANDS LÄN</t>
        </is>
      </c>
      <c r="G115" t="inlineStr">
        <is>
          <t>SKÖVDE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45301</v>
      </c>
      <c r="E116" s="1" t="n">
        <v>46284</v>
      </c>
      <c r="F116" t="inlineStr">
        <is>
          <t>VÄSTRA GÖTALANDS LÄN</t>
        </is>
      </c>
      <c r="G116" t="inlineStr">
        <is>
          <t>SKÖVDE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46284</v>
      </c>
      <c r="F117" t="inlineStr">
        <is>
          <t>VÄSTRA GÖTALANDS LÄN</t>
        </is>
      </c>
      <c r="G117" t="inlineStr">
        <is>
          <t>SKÖVDE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46284</v>
      </c>
      <c r="F118" t="inlineStr">
        <is>
          <t>VÄSTRA GÖTALANDS LÄN</t>
        </is>
      </c>
      <c r="G118" t="inlineStr">
        <is>
          <t>SKÖVDE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45756</v>
      </c>
      <c r="E119" s="1" t="n">
        <v>46284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46284</v>
      </c>
      <c r="F120" t="inlineStr">
        <is>
          <t>VÄSTRA GÖTALANDS LÄN</t>
        </is>
      </c>
      <c r="G120" t="inlineStr">
        <is>
          <t>SKÖVDE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45376</v>
      </c>
      <c r="E121" s="1" t="n">
        <v>46284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44586</v>
      </c>
      <c r="E122" s="1" t="n">
        <v>46284</v>
      </c>
      <c r="F122" t="inlineStr">
        <is>
          <t>VÄSTRA GÖTALANDS LÄN</t>
        </is>
      </c>
      <c r="G122" t="inlineStr">
        <is>
          <t>SKÖVDE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35280-2024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45530</v>
      </c>
      <c r="E123" s="1" t="n">
        <v>46284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46284</v>
      </c>
      <c r="F124" t="inlineStr">
        <is>
          <t>VÄSTRA GÖTALANDS LÄN</t>
        </is>
      </c>
      <c r="G124" t="inlineStr">
        <is>
          <t>SKÖVDE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46284</v>
      </c>
      <c r="F125" t="inlineStr">
        <is>
          <t>VÄSTRA GÖTALANDS LÄN</t>
        </is>
      </c>
      <c r="G125" t="inlineStr">
        <is>
          <t>SKÖVDE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46284</v>
      </c>
      <c r="F126" t="inlineStr">
        <is>
          <t>VÄSTRA GÖTALANDS LÄN</t>
        </is>
      </c>
      <c r="G126" t="inlineStr">
        <is>
          <t>SKÖVDE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46284</v>
      </c>
      <c r="F127" t="inlineStr">
        <is>
          <t>VÄSTRA GÖTALANDS LÄN</t>
        </is>
      </c>
      <c r="G127" t="inlineStr">
        <is>
          <t>SKÖVDE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45138</v>
      </c>
      <c r="E128" s="1" t="n">
        <v>46284</v>
      </c>
      <c r="F128" t="inlineStr">
        <is>
          <t>VÄSTRA GÖTALANDS LÄN</t>
        </is>
      </c>
      <c r="G128" t="inlineStr">
        <is>
          <t>SKÖVDE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46284</v>
      </c>
      <c r="F129" t="inlineStr">
        <is>
          <t>VÄSTRA GÖTALANDS LÄN</t>
        </is>
      </c>
      <c r="G129" t="inlineStr">
        <is>
          <t>SKÖVDE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46284</v>
      </c>
      <c r="F130" t="inlineStr">
        <is>
          <t>VÄSTRA GÖTALANDS LÄN</t>
        </is>
      </c>
      <c r="G130" t="inlineStr">
        <is>
          <t>SKÖVDE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60117-2021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44495</v>
      </c>
      <c r="E131" s="1" t="n">
        <v>46284</v>
      </c>
      <c r="F131" t="inlineStr">
        <is>
          <t>VÄSTRA GÖTALANDS LÄN</t>
        </is>
      </c>
      <c r="G131" t="inlineStr">
        <is>
          <t>SKÖVDE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46284</v>
      </c>
      <c r="F132" t="inlineStr">
        <is>
          <t>VÄSTRA GÖTALANDS LÄN</t>
        </is>
      </c>
      <c r="G132" t="inlineStr">
        <is>
          <t>SKÖVDE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46284</v>
      </c>
      <c r="F133" t="inlineStr">
        <is>
          <t>VÄSTRA GÖTALANDS LÄN</t>
        </is>
      </c>
      <c r="G133" t="inlineStr">
        <is>
          <t>SKÖVDE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46284</v>
      </c>
      <c r="F134" t="inlineStr">
        <is>
          <t>VÄSTRA GÖTALANDS LÄN</t>
        </is>
      </c>
      <c r="G134" t="inlineStr">
        <is>
          <t>SKÖVDE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46284</v>
      </c>
      <c r="F135" t="inlineStr">
        <is>
          <t>VÄSTRA GÖTALANDS LÄN</t>
        </is>
      </c>
      <c r="G135" t="inlineStr">
        <is>
          <t>SKÖVDE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46284</v>
      </c>
      <c r="F136" t="inlineStr">
        <is>
          <t>VÄSTRA GÖTALANDS LÄN</t>
        </is>
      </c>
      <c r="G136" t="inlineStr">
        <is>
          <t>SKÖVDE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46284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46284</v>
      </c>
      <c r="F138" t="inlineStr">
        <is>
          <t>VÄSTRA GÖTALANDS LÄN</t>
        </is>
      </c>
      <c r="G138" t="inlineStr">
        <is>
          <t>SKÖVDE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46284</v>
      </c>
      <c r="F139" t="inlineStr">
        <is>
          <t>VÄSTRA GÖTALANDS LÄN</t>
        </is>
      </c>
      <c r="G139" t="inlineStr">
        <is>
          <t>SKÖVDE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46284</v>
      </c>
      <c r="F140" t="inlineStr">
        <is>
          <t>VÄSTRA GÖTALANDS LÄN</t>
        </is>
      </c>
      <c r="G140" t="inlineStr">
        <is>
          <t>SKÖVDE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46284</v>
      </c>
      <c r="F141" t="inlineStr">
        <is>
          <t>VÄSTRA GÖTALANDS LÄN</t>
        </is>
      </c>
      <c r="G141" t="inlineStr">
        <is>
          <t>SKÖVDE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45306</v>
      </c>
      <c r="E142" s="1" t="n">
        <v>46284</v>
      </c>
      <c r="F142" t="inlineStr">
        <is>
          <t>VÄSTRA GÖTALANDS LÄN</t>
        </is>
      </c>
      <c r="G142" t="inlineStr">
        <is>
          <t>SKÖVDE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46284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Kommuner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46284</v>
      </c>
      <c r="F144" t="inlineStr">
        <is>
          <t>VÄSTRA GÖTALANDS LÄN</t>
        </is>
      </c>
      <c r="G144" t="inlineStr">
        <is>
          <t>SKÖVDE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46284</v>
      </c>
      <c r="F145" t="inlineStr">
        <is>
          <t>VÄSTRA GÖTALANDS LÄN</t>
        </is>
      </c>
      <c r="G145" t="inlineStr">
        <is>
          <t>SKÖVDE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46284</v>
      </c>
      <c r="F146" t="inlineStr">
        <is>
          <t>VÄSTRA GÖTALANDS LÄN</t>
        </is>
      </c>
      <c r="G146" t="inlineStr">
        <is>
          <t>SKÖVDE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46284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46284</v>
      </c>
      <c r="F148" t="inlineStr">
        <is>
          <t>VÄSTRA GÖTALANDS LÄN</t>
        </is>
      </c>
      <c r="G148" t="inlineStr">
        <is>
          <t>SKÖVDE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46284</v>
      </c>
      <c r="F149" t="inlineStr">
        <is>
          <t>VÄSTRA GÖTALANDS LÄN</t>
        </is>
      </c>
      <c r="G149" t="inlineStr">
        <is>
          <t>SKÖVDE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46284</v>
      </c>
      <c r="F150" t="inlineStr">
        <is>
          <t>VÄSTRA GÖTALANDS LÄN</t>
        </is>
      </c>
      <c r="G150" t="inlineStr">
        <is>
          <t>SKÖVDE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46284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46284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46284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46284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46284</v>
      </c>
      <c r="F155" t="inlineStr">
        <is>
          <t>VÄSTRA GÖTALANDS LÄN</t>
        </is>
      </c>
      <c r="G155" t="inlineStr">
        <is>
          <t>SKÖVDE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46284</v>
      </c>
      <c r="F156" t="inlineStr">
        <is>
          <t>VÄSTRA GÖTALANDS LÄN</t>
        </is>
      </c>
      <c r="G156" t="inlineStr">
        <is>
          <t>SKÖVDE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46284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13669-2023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45006</v>
      </c>
      <c r="E158" s="1" t="n">
        <v>46284</v>
      </c>
      <c r="F158" t="inlineStr">
        <is>
          <t>VÄSTRA GÖTALANDS LÄN</t>
        </is>
      </c>
      <c r="G158" t="inlineStr">
        <is>
          <t>SKÖVDE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46038</v>
      </c>
      <c r="E159" s="1" t="n">
        <v>46284</v>
      </c>
      <c r="F159" t="inlineStr">
        <is>
          <t>VÄSTRA GÖTALANDS LÄN</t>
        </is>
      </c>
      <c r="G159" t="inlineStr">
        <is>
          <t>SKÖVDE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46284</v>
      </c>
      <c r="F160" t="inlineStr">
        <is>
          <t>VÄSTRA GÖTALANDS LÄN</t>
        </is>
      </c>
      <c r="G160" t="inlineStr">
        <is>
          <t>SKÖVDE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46001</v>
      </c>
      <c r="E161" s="1" t="n">
        <v>46284</v>
      </c>
      <c r="F161" t="inlineStr">
        <is>
          <t>VÄSTRA GÖTALANDS LÄN</t>
        </is>
      </c>
      <c r="G161" t="inlineStr">
        <is>
          <t>SKÖVDE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46284</v>
      </c>
      <c r="F162" t="inlineStr">
        <is>
          <t>VÄSTRA GÖTALANDS LÄN</t>
        </is>
      </c>
      <c r="G162" t="inlineStr">
        <is>
          <t>SKÖVDE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46284</v>
      </c>
      <c r="F163" t="inlineStr">
        <is>
          <t>VÄSTRA GÖTALANDS LÄN</t>
        </is>
      </c>
      <c r="G163" t="inlineStr">
        <is>
          <t>SKÖVDE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46284</v>
      </c>
      <c r="F164" t="inlineStr">
        <is>
          <t>VÄSTRA GÖTALANDS LÄN</t>
        </is>
      </c>
      <c r="G164" t="inlineStr">
        <is>
          <t>SKÖVDE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46284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46284</v>
      </c>
      <c r="F166" t="inlineStr">
        <is>
          <t>VÄSTRA GÖTALANDS LÄN</t>
        </is>
      </c>
      <c r="G166" t="inlineStr">
        <is>
          <t>SKÖVDE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46008</v>
      </c>
      <c r="E167" s="1" t="n">
        <v>46284</v>
      </c>
      <c r="F167" t="inlineStr">
        <is>
          <t>VÄSTRA GÖTALANDS LÄN</t>
        </is>
      </c>
      <c r="G167" t="inlineStr">
        <is>
          <t>SKÖVDE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46284</v>
      </c>
      <c r="F168" t="inlineStr">
        <is>
          <t>VÄSTRA GÖTALANDS LÄN</t>
        </is>
      </c>
      <c r="G168" t="inlineStr">
        <is>
          <t>SKÖVDE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46284</v>
      </c>
      <c r="F169" t="inlineStr">
        <is>
          <t>VÄSTRA GÖTALANDS LÄN</t>
        </is>
      </c>
      <c r="G169" t="inlineStr">
        <is>
          <t>SKÖVDE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46284</v>
      </c>
      <c r="F170" t="inlineStr">
        <is>
          <t>VÄSTRA GÖTALANDS LÄN</t>
        </is>
      </c>
      <c r="G170" t="inlineStr">
        <is>
          <t>SKÖVDE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46017</v>
      </c>
      <c r="E171" s="1" t="n">
        <v>46284</v>
      </c>
      <c r="F171" t="inlineStr">
        <is>
          <t>VÄSTRA GÖTALANDS LÄN</t>
        </is>
      </c>
      <c r="G171" t="inlineStr">
        <is>
          <t>SKÖVDE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46284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Kyrkan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44750</v>
      </c>
      <c r="E173" s="1" t="n">
        <v>46284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44636</v>
      </c>
      <c r="E174" s="1" t="n">
        <v>46284</v>
      </c>
      <c r="F174" t="inlineStr">
        <is>
          <t>VÄSTRA GÖTALANDS LÄN</t>
        </is>
      </c>
      <c r="G174" t="inlineStr">
        <is>
          <t>SKÖVDE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51886-2021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44462</v>
      </c>
      <c r="E175" s="1" t="n">
        <v>46284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46284</v>
      </c>
      <c r="F176" t="inlineStr">
        <is>
          <t>VÄSTRA GÖTALANDS LÄN</t>
        </is>
      </c>
      <c r="G176" t="inlineStr">
        <is>
          <t>SKÖVDE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46284</v>
      </c>
      <c r="F177" t="inlineStr">
        <is>
          <t>VÄSTRA GÖTALANDS LÄN</t>
        </is>
      </c>
      <c r="G177" t="inlineStr">
        <is>
          <t>SKÖVDE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46284</v>
      </c>
      <c r="F178" t="inlineStr">
        <is>
          <t>VÄSTRA GÖTALANDS LÄN</t>
        </is>
      </c>
      <c r="G178" t="inlineStr">
        <is>
          <t>SKÖVDE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46284</v>
      </c>
      <c r="F179" t="inlineStr">
        <is>
          <t>VÄSTRA GÖTALANDS LÄN</t>
        </is>
      </c>
      <c r="G179" t="inlineStr">
        <is>
          <t>SKÖVDE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46284</v>
      </c>
      <c r="F180" t="inlineStr">
        <is>
          <t>VÄSTRA GÖTALANDS LÄN</t>
        </is>
      </c>
      <c r="G180" t="inlineStr">
        <is>
          <t>SKÖVDE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46051</v>
      </c>
      <c r="E181" s="1" t="n">
        <v>46284</v>
      </c>
      <c r="F181" t="inlineStr">
        <is>
          <t>VÄSTRA GÖTALANDS LÄN</t>
        </is>
      </c>
      <c r="G181" t="inlineStr">
        <is>
          <t>SKÖVDE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6092-2026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46052</v>
      </c>
      <c r="E182" s="1" t="n">
        <v>46284</v>
      </c>
      <c r="F182" t="inlineStr">
        <is>
          <t>VÄSTRA GÖTALANDS LÄN</t>
        </is>
      </c>
      <c r="G182" t="inlineStr">
        <is>
          <t>SKÖVDE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46284</v>
      </c>
      <c r="F183" t="inlineStr">
        <is>
          <t>VÄSTRA GÖTALANDS LÄN</t>
        </is>
      </c>
      <c r="G183" t="inlineStr">
        <is>
          <t>SKÖVDE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46284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46010</v>
      </c>
      <c r="E185" s="1" t="n">
        <v>46284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46284</v>
      </c>
      <c r="F186" t="inlineStr">
        <is>
          <t>VÄSTRA GÖTALANDS LÄN</t>
        </is>
      </c>
      <c r="G186" t="inlineStr">
        <is>
          <t>SKÖVDE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46284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46284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63375-2025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46009</v>
      </c>
      <c r="E189" s="1" t="n">
        <v>46284</v>
      </c>
      <c r="F189" t="inlineStr">
        <is>
          <t>VÄSTRA GÖTALANDS LÄN</t>
        </is>
      </c>
      <c r="G189" t="inlineStr">
        <is>
          <t>SKÖVDE</t>
        </is>
      </c>
      <c r="H189" t="inlineStr">
        <is>
          <t>Övriga statliga verk och myndigheter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46284</v>
      </c>
      <c r="F190" t="inlineStr">
        <is>
          <t>VÄSTRA GÖTALANDS LÄN</t>
        </is>
      </c>
      <c r="G190" t="inlineStr">
        <is>
          <t>SKÖVDE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46284</v>
      </c>
      <c r="F191" t="inlineStr">
        <is>
          <t>VÄSTRA GÖTALANDS LÄN</t>
        </is>
      </c>
      <c r="G191" t="inlineStr">
        <is>
          <t>SKÖVDE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46284</v>
      </c>
      <c r="F192" t="inlineStr">
        <is>
          <t>VÄSTRA GÖTALANDS LÄN</t>
        </is>
      </c>
      <c r="G192" t="inlineStr">
        <is>
          <t>SKÖVDE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40205-2022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46284</v>
      </c>
      <c r="F193" t="inlineStr">
        <is>
          <t>VÄSTRA GÖTALANDS LÄN</t>
        </is>
      </c>
      <c r="G193" t="inlineStr">
        <is>
          <t>SKÖVDE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46284</v>
      </c>
      <c r="F194" t="inlineStr">
        <is>
          <t>VÄSTRA GÖTALANDS LÄN</t>
        </is>
      </c>
      <c r="G194" t="inlineStr">
        <is>
          <t>SKÖVDE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26914-2026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46185</v>
      </c>
      <c r="E195" s="1" t="n">
        <v>46284</v>
      </c>
      <c r="F195" t="inlineStr">
        <is>
          <t>VÄSTRA GÖTALANDS LÄN</t>
        </is>
      </c>
      <c r="G195" t="inlineStr">
        <is>
          <t>SKÖVDE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45169</v>
      </c>
      <c r="E196" s="1" t="n">
        <v>46284</v>
      </c>
      <c r="F196" t="inlineStr">
        <is>
          <t>VÄSTRA GÖTALANDS LÄN</t>
        </is>
      </c>
      <c r="G196" t="inlineStr">
        <is>
          <t>SKÖVDE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46284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46284</v>
      </c>
      <c r="F198" t="inlineStr">
        <is>
          <t>VÄSTRA GÖTALANDS LÄN</t>
        </is>
      </c>
      <c r="G198" t="inlineStr">
        <is>
          <t>SKÖVDE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46284</v>
      </c>
      <c r="F199" t="inlineStr">
        <is>
          <t>VÄSTRA GÖTALANDS LÄN</t>
        </is>
      </c>
      <c r="G199" t="inlineStr">
        <is>
          <t>SKÖVDE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46284</v>
      </c>
      <c r="F200" t="inlineStr">
        <is>
          <t>VÄSTRA GÖTALANDS LÄN</t>
        </is>
      </c>
      <c r="G200" t="inlineStr">
        <is>
          <t>SKÖVDE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45082</v>
      </c>
      <c r="E201" s="1" t="n">
        <v>46284</v>
      </c>
      <c r="F201" t="inlineStr">
        <is>
          <t>VÄSTRA GÖTALANDS LÄN</t>
        </is>
      </c>
      <c r="G201" t="inlineStr">
        <is>
          <t>SKÖVDE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45687</v>
      </c>
      <c r="E202" s="1" t="n">
        <v>46284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46099</v>
      </c>
      <c r="E203" s="1" t="n">
        <v>46284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45138</v>
      </c>
      <c r="E204" s="1" t="n">
        <v>46284</v>
      </c>
      <c r="F204" t="inlineStr">
        <is>
          <t>VÄSTRA GÖTALANDS LÄN</t>
        </is>
      </c>
      <c r="G204" t="inlineStr">
        <is>
          <t>SKÖVDE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46284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46284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45590</v>
      </c>
      <c r="E207" s="1" t="n">
        <v>46284</v>
      </c>
      <c r="F207" t="inlineStr">
        <is>
          <t>VÄSTRA GÖTALANDS LÄN</t>
        </is>
      </c>
      <c r="G207" t="inlineStr">
        <is>
          <t>SKÖVDE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17798-2024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45418</v>
      </c>
      <c r="E208" s="1" t="n">
        <v>46284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46284</v>
      </c>
      <c r="F209" t="inlineStr">
        <is>
          <t>VÄSTRA GÖTALANDS LÄN</t>
        </is>
      </c>
      <c r="G209" t="inlineStr">
        <is>
          <t>SKÖVDE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46284</v>
      </c>
      <c r="F210" t="inlineStr">
        <is>
          <t>VÄSTRA GÖTALANDS LÄN</t>
        </is>
      </c>
      <c r="G210" t="inlineStr">
        <is>
          <t>SKÖVDE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46284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46284</v>
      </c>
      <c r="F212" t="inlineStr">
        <is>
          <t>VÄSTRA GÖTALANDS LÄN</t>
        </is>
      </c>
      <c r="G212" t="inlineStr">
        <is>
          <t>SKÖVDE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46284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46284</v>
      </c>
      <c r="F214" t="inlineStr">
        <is>
          <t>VÄSTRA GÖTALANDS LÄN</t>
        </is>
      </c>
      <c r="G214" t="inlineStr">
        <is>
          <t>SKÖVDE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46284</v>
      </c>
      <c r="F215" t="inlineStr">
        <is>
          <t>VÄSTRA GÖTALANDS LÄN</t>
        </is>
      </c>
      <c r="G215" t="inlineStr">
        <is>
          <t>SKÖVDE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34257-2026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46284</v>
      </c>
      <c r="F216" t="inlineStr">
        <is>
          <t>VÄSTRA GÖTALANDS LÄN</t>
        </is>
      </c>
      <c r="G216" t="inlineStr">
        <is>
          <t>SKÖVDE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46284</v>
      </c>
      <c r="F217" t="inlineStr">
        <is>
          <t>VÄSTRA GÖTALANDS LÄN</t>
        </is>
      </c>
      <c r="G217" t="inlineStr">
        <is>
          <t>SKÖVDE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46284</v>
      </c>
      <c r="F218" t="inlineStr">
        <is>
          <t>VÄSTRA GÖTALANDS LÄN</t>
        </is>
      </c>
      <c r="G218" t="inlineStr">
        <is>
          <t>SKÖVDE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46284</v>
      </c>
      <c r="F219" t="inlineStr">
        <is>
          <t>VÄSTRA GÖTALANDS LÄN</t>
        </is>
      </c>
      <c r="G219" t="inlineStr">
        <is>
          <t>SKÖVDE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46284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46284</v>
      </c>
      <c r="F221" t="inlineStr">
        <is>
          <t>VÄSTRA GÖTALANDS LÄN</t>
        </is>
      </c>
      <c r="G221" t="inlineStr">
        <is>
          <t>SKÖVDE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44804</v>
      </c>
      <c r="E222" s="1" t="n">
        <v>46284</v>
      </c>
      <c r="F222" t="inlineStr">
        <is>
          <t>VÄSTRA GÖTALANDS LÄN</t>
        </is>
      </c>
      <c r="G222" t="inlineStr">
        <is>
          <t>SKÖVDE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46284</v>
      </c>
      <c r="F223" t="inlineStr">
        <is>
          <t>VÄSTRA GÖTALANDS LÄN</t>
        </is>
      </c>
      <c r="G223" t="inlineStr">
        <is>
          <t>SKÖVDE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46284</v>
      </c>
      <c r="F224" t="inlineStr">
        <is>
          <t>VÄSTRA GÖTALANDS LÄN</t>
        </is>
      </c>
      <c r="G224" t="inlineStr">
        <is>
          <t>SKÖVDE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46284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45315</v>
      </c>
      <c r="E226" s="1" t="n">
        <v>46284</v>
      </c>
      <c r="F226" t="inlineStr">
        <is>
          <t>VÄSTRA GÖTALANDS LÄN</t>
        </is>
      </c>
      <c r="G226" t="inlineStr">
        <is>
          <t>SKÖVDE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46284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45547</v>
      </c>
      <c r="E228" s="1" t="n">
        <v>46284</v>
      </c>
      <c r="F228" t="inlineStr">
        <is>
          <t>VÄSTRA GÖTALANDS LÄN</t>
        </is>
      </c>
      <c r="G228" t="inlineStr">
        <is>
          <t>SKÖVDE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46284</v>
      </c>
      <c r="F229" t="inlineStr">
        <is>
          <t>VÄSTRA GÖTALANDS LÄN</t>
        </is>
      </c>
      <c r="G229" t="inlineStr">
        <is>
          <t>SKÖVDE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46269</v>
      </c>
      <c r="E230" s="1" t="n">
        <v>46284</v>
      </c>
      <c r="F230" t="inlineStr">
        <is>
          <t>VÄSTRA GÖTALANDS LÄN</t>
        </is>
      </c>
      <c r="G230" t="inlineStr">
        <is>
          <t>SKÖVDE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46272</v>
      </c>
      <c r="E231" s="1" t="n">
        <v>46284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46284</v>
      </c>
      <c r="F232" t="inlineStr">
        <is>
          <t>VÄSTRA GÖTALANDS LÄN</t>
        </is>
      </c>
      <c r="G232" t="inlineStr">
        <is>
          <t>SKÖVDE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46284</v>
      </c>
      <c r="F233" t="inlineStr">
        <is>
          <t>VÄSTRA GÖTALANDS LÄN</t>
        </is>
      </c>
      <c r="G233" t="inlineStr">
        <is>
          <t>SKÖVDE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46284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46284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45334</v>
      </c>
      <c r="E236" s="1" t="n">
        <v>46284</v>
      </c>
      <c r="F236" t="inlineStr">
        <is>
          <t>VÄSTRA GÖTALANDS LÄN</t>
        </is>
      </c>
      <c r="G236" t="inlineStr">
        <is>
          <t>SKÖVDE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45142</v>
      </c>
      <c r="E237" s="1" t="n">
        <v>46284</v>
      </c>
      <c r="F237" t="inlineStr">
        <is>
          <t>VÄSTRA GÖTALANDS LÄN</t>
        </is>
      </c>
      <c r="G237" t="inlineStr">
        <is>
          <t>SKÖVDE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46284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46283</v>
      </c>
      <c r="E239" s="1" t="n">
        <v>46284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46284</v>
      </c>
      <c r="F240" t="inlineStr">
        <is>
          <t>VÄSTRA GÖTALANDS LÄN</t>
        </is>
      </c>
      <c r="G240" t="inlineStr">
        <is>
          <t>SKÖVDE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46284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46284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25642-2025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45803</v>
      </c>
      <c r="E243" s="1" t="n">
        <v>46284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45800</v>
      </c>
      <c r="E244" s="1" t="n">
        <v>46284</v>
      </c>
      <c r="F244" t="inlineStr">
        <is>
          <t>VÄSTRA GÖTALANDS LÄN</t>
        </is>
      </c>
      <c r="G244" t="inlineStr">
        <is>
          <t>SKÖVDE</t>
        </is>
      </c>
      <c r="H244" t="inlineStr">
        <is>
          <t>Kommuner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45800</v>
      </c>
      <c r="E245" s="1" t="n">
        <v>46284</v>
      </c>
      <c r="F245" t="inlineStr">
        <is>
          <t>VÄSTRA GÖTALANDS LÄN</t>
        </is>
      </c>
      <c r="G245" t="inlineStr">
        <is>
          <t>SKÖVDE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46284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46284</v>
      </c>
      <c r="F247" t="inlineStr">
        <is>
          <t>VÄSTRA GÖTALANDS LÄN</t>
        </is>
      </c>
      <c r="G247" t="inlineStr">
        <is>
          <t>SKÖVDE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46284</v>
      </c>
      <c r="F248" t="inlineStr">
        <is>
          <t>VÄSTRA GÖTALANDS LÄN</t>
        </is>
      </c>
      <c r="G248" t="inlineStr">
        <is>
          <t>SKÖVDE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46284</v>
      </c>
      <c r="F249" t="inlineStr">
        <is>
          <t>VÄSTRA GÖTALANDS LÄN</t>
        </is>
      </c>
      <c r="G249" t="inlineStr">
        <is>
          <t>SKÖVDE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46284</v>
      </c>
      <c r="F250" t="inlineStr">
        <is>
          <t>VÄSTRA GÖTALANDS LÄN</t>
        </is>
      </c>
      <c r="G250" t="inlineStr">
        <is>
          <t>SKÖVDE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46284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46284</v>
      </c>
      <c r="F252" t="inlineStr">
        <is>
          <t>VÄSTRA GÖTALANDS LÄN</t>
        </is>
      </c>
      <c r="G252" t="inlineStr">
        <is>
          <t>SKÖVDE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46284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46284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46284</v>
      </c>
      <c r="F255" t="inlineStr">
        <is>
          <t>VÄSTRA GÖTALANDS LÄN</t>
        </is>
      </c>
      <c r="G255" t="inlineStr">
        <is>
          <t>SKÖVDE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46284</v>
      </c>
      <c r="F256" t="inlineStr">
        <is>
          <t>VÄSTRA GÖTALANDS LÄN</t>
        </is>
      </c>
      <c r="G256" t="inlineStr">
        <is>
          <t>SKÖVDE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46284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46284</v>
      </c>
      <c r="F258" t="inlineStr">
        <is>
          <t>VÄSTRA GÖTALANDS LÄN</t>
        </is>
      </c>
      <c r="G258" t="inlineStr">
        <is>
          <t>SKÖVDE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46284</v>
      </c>
      <c r="F259" t="inlineStr">
        <is>
          <t>VÄSTRA GÖTALANDS LÄN</t>
        </is>
      </c>
      <c r="G259" t="inlineStr">
        <is>
          <t>SKÖVDE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46284</v>
      </c>
      <c r="F260" t="inlineStr">
        <is>
          <t>VÄSTRA GÖTALANDS LÄN</t>
        </is>
      </c>
      <c r="G260" t="inlineStr">
        <is>
          <t>SKÖVDE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46284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46284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2026-09-19T02:03:34Z</dcterms:created>
  <dcterms:modified xmlns:dcterms="http://purl.org/dc/terms/" xmlns:xsi="http://www.w3.org/2001/XMLSchema-instance" xsi:type="dcterms:W3CDTF">2026-09-19T02:03:34Z</dcterms:modified>
</cp:coreProperties>
</file>