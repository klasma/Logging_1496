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46252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46252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46252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46252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46252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46252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46252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46252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46252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46252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46252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46252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46252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46252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46252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46252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46252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46252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46252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46252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46252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46252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46252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46252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46252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42017-2025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46252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Borsttåg
Mattlummer</t>
        </is>
      </c>
      <c r="W30">
        <f>HYPERLINK("https://klasma.github.io/Logging_1496/artfynd/A 42017-2025 artfynd.xlsx", "A 42017-2025")</f>
        <v/>
      </c>
      <c r="X30">
        <f>HYPERLINK("https://klasma.github.io/Logging_1496/kartor/A 42017-2025 karta.png", "A 42017-2025")</f>
        <v/>
      </c>
      <c r="Y30">
        <f>HYPERLINK("https://klasma.github.io/Logging_1496/kartor_geotiff/A 42017-2025 georefererad karta.tif", "A 42017-2025")</f>
        <v/>
      </c>
      <c r="AA30">
        <f>HYPERLINK("https://klasma.github.io/Logging_1496/klagomål/A 42017-2025 FSC-klagomål.docx", "A 42017-2025")</f>
        <v/>
      </c>
      <c r="AB30">
        <f>HYPERLINK("https://klasma.github.io/Logging_1496/klagomålsmail/A 42017-2025 FSC-klagomål mail.docx", "A 42017-2025")</f>
        <v/>
      </c>
      <c r="AC30">
        <f>HYPERLINK("https://klasma.github.io/Logging_1496/tillsyn/A 42017-2025 tillsynsbegäran.docx", "A 42017-2025")</f>
        <v/>
      </c>
      <c r="AD30">
        <f>HYPERLINK("https://klasma.github.io/Logging_1496/tillsynsmail/A 42017-2025 tillsynsbegäran mail.docx", "A 42017-2025")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46252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46252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Vanlig groda
Revlummer</t>
        </is>
      </c>
      <c r="W32">
        <f>HYPERLINK("https://klasma.github.io/Logging_1496/artfynd/A 10610-2023 artfynd.xlsx", "A 10610-2023")</f>
        <v/>
      </c>
      <c r="X32">
        <f>HYPERLINK("https://klasma.github.io/Logging_1496/kartor/A 10610-2023 karta.png", "A 10610-2023")</f>
        <v/>
      </c>
      <c r="Y32">
        <f>HYPERLINK("https://klasma.github.io/Logging_1496/kartor_geotiff/A 10610-2023 georefererad karta.tif", "A 10610-2023")</f>
        <v/>
      </c>
      <c r="AA32">
        <f>HYPERLINK("https://klasma.github.io/Logging_1496/klagomål/A 10610-2023 FSC-klagomål.docx", "A 10610-2023")</f>
        <v/>
      </c>
      <c r="AB32">
        <f>HYPERLINK("https://klasma.github.io/Logging_1496/klagomålsmail/A 10610-2023 FSC-klagomål mail.docx", "A 10610-2023")</f>
        <v/>
      </c>
      <c r="AC32">
        <f>HYPERLINK("https://klasma.github.io/Logging_1496/tillsyn/A 10610-2023 tillsynsbegäran.docx", "A 10610-2023")</f>
        <v/>
      </c>
      <c r="AD32">
        <f>HYPERLINK("https://klasma.github.io/Logging_1496/tillsynsmail/A 10610-2023 tillsynsbegäran mail.docx", "A 10610-2023")</f>
        <v/>
      </c>
    </row>
    <row r="33" ht="15" customHeight="1">
      <c r="A33" t="inlineStr">
        <is>
          <t>A 24383-2025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46252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0.8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Åkergroda</t>
        </is>
      </c>
      <c r="W33">
        <f>HYPERLINK("https://klasma.github.io/Logging_1496/artfynd/A 24383-2025 artfynd.xlsx", "A 24383-2025")</f>
        <v/>
      </c>
      <c r="X33">
        <f>HYPERLINK("https://klasma.github.io/Logging_1496/kartor/A 24383-2025 karta.png", "A 24383-2025")</f>
        <v/>
      </c>
      <c r="Y33">
        <f>HYPERLINK("https://klasma.github.io/Logging_1496/kartor_geotiff/A 24383-2025 georefererad karta.tif", "A 24383-2025")</f>
        <v/>
      </c>
      <c r="AA33">
        <f>HYPERLINK("https://klasma.github.io/Logging_1496/klagomål/A 24383-2025 FSC-klagomål.docx", "A 24383-2025")</f>
        <v/>
      </c>
      <c r="AB33">
        <f>HYPERLINK("https://klasma.github.io/Logging_1496/klagomålsmail/A 24383-2025 FSC-klagomål mail.docx", "A 24383-2025")</f>
        <v/>
      </c>
      <c r="AC33">
        <f>HYPERLINK("https://klasma.github.io/Logging_1496/tillsyn/A 24383-2025 tillsynsbegäran.docx", "A 24383-2025")</f>
        <v/>
      </c>
      <c r="AD33">
        <f>HYPERLINK("https://klasma.github.io/Logging_1496/tillsynsmail/A 24383-2025 tillsynsbegäran mail.docx", "A 24383-2025")</f>
        <v/>
      </c>
      <c r="AE33">
        <f>HYPERLINK("https://klasma.github.io/Logging_1496/fåglar/A 24383-2025 prioriterade fågelarter.docx", "A 24383-2025")</f>
        <v/>
      </c>
    </row>
    <row r="34" ht="15" customHeight="1">
      <c r="A34" t="inlineStr">
        <is>
          <t>A 26907-2026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46185</v>
      </c>
      <c r="E34" s="1" t="n">
        <v>46252</v>
      </c>
      <c r="F34" t="inlineStr">
        <is>
          <t>VÄSTRA GÖTALANDS LÄN</t>
        </is>
      </c>
      <c r="G34" t="inlineStr">
        <is>
          <t>SKÖVDE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0</v>
      </c>
      <c r="V34" s="2" t="inlineStr">
        <is>
          <t>Ask
Skogsalm</t>
        </is>
      </c>
      <c r="W34">
        <f>HYPERLINK("https://klasma.github.io/Logging_1496/artfynd/A 26907-2026 artfynd.xlsx", "A 26907-2026")</f>
        <v/>
      </c>
      <c r="X34">
        <f>HYPERLINK("https://klasma.github.io/Logging_1496/kartor/A 26907-2026 karta.png", "A 26907-2026")</f>
        <v/>
      </c>
      <c r="Y34">
        <f>HYPERLINK("https://klasma.github.io/Logging_1496/kartor_geotiff/A 26907-2026 georefererad karta.tif", "A 26907-2026")</f>
        <v/>
      </c>
      <c r="AA34">
        <f>HYPERLINK("https://klasma.github.io/Logging_1496/klagomål/A 26907-2026 FSC-klagomål.docx", "A 26907-2026")</f>
        <v/>
      </c>
      <c r="AB34">
        <f>HYPERLINK("https://klasma.github.io/Logging_1496/klagomålsmail/A 26907-2026 FSC-klagomål mail.docx", "A 26907-2026")</f>
        <v/>
      </c>
      <c r="AC34">
        <f>HYPERLINK("https://klasma.github.io/Logging_1496/tillsyn/A 26907-2026 tillsynsbegäran.docx", "A 26907-2026")</f>
        <v/>
      </c>
      <c r="AD34">
        <f>HYPERLINK("https://klasma.github.io/Logging_1496/tillsynsmail/A 26907-2026 tillsynsbegäran mail.docx", "A 26907-2026")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46252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29222-2022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44750</v>
      </c>
      <c r="E36" s="1" t="n">
        <v>46252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Lundbräsma
Strutbräken</t>
        </is>
      </c>
      <c r="W36">
        <f>HYPERLINK("https://klasma.github.io/Logging_1496/artfynd/A 29222-2022 artfynd.xlsx", "A 29222-2022")</f>
        <v/>
      </c>
      <c r="X36">
        <f>HYPERLINK("https://klasma.github.io/Logging_1496/kartor/A 29222-2022 karta.png", "A 29222-2022")</f>
        <v/>
      </c>
      <c r="Y36">
        <f>HYPERLINK("https://klasma.github.io/Logging_1496/kartor_geotiff/A 29222-2022 georefererad karta.tif", "A 29222-2022")</f>
        <v/>
      </c>
      <c r="AA36">
        <f>HYPERLINK("https://klasma.github.io/Logging_1496/klagomål/A 29222-2022 FSC-klagomål.docx", "A 29222-2022")</f>
        <v/>
      </c>
      <c r="AB36">
        <f>HYPERLINK("https://klasma.github.io/Logging_1496/klagomålsmail/A 29222-2022 FSC-klagomål mail.docx", "A 29222-2022")</f>
        <v/>
      </c>
      <c r="AC36">
        <f>HYPERLINK("https://klasma.github.io/Logging_1496/tillsyn/A 29222-2022 tillsynsbegäran.docx", "A 29222-2022")</f>
        <v/>
      </c>
      <c r="AD36">
        <f>HYPERLINK("https://klasma.github.io/Logging_1496/tillsynsmail/A 29222-2022 tillsynsbegäran mail.docx", "A 29222-2022")</f>
        <v/>
      </c>
    </row>
    <row r="37" ht="15" customHeight="1">
      <c r="A37" t="inlineStr">
        <is>
          <t>A 24996-2025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46252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Granbronssopp
Fjällig taggsvamp s.str.</t>
        </is>
      </c>
      <c r="W37">
        <f>HYPERLINK("https://klasma.github.io/Logging_1496/artfynd/A 24996-2025 artfynd.xlsx", "A 24996-2025")</f>
        <v/>
      </c>
      <c r="X37">
        <f>HYPERLINK("https://klasma.github.io/Logging_1496/kartor/A 24996-2025 karta.png", "A 24996-2025")</f>
        <v/>
      </c>
      <c r="Y37">
        <f>HYPERLINK("https://klasma.github.io/Logging_1496/kartor_geotiff/A 24996-2025 georefererad karta.tif", "A 24996-2025")</f>
        <v/>
      </c>
      <c r="AA37">
        <f>HYPERLINK("https://klasma.github.io/Logging_1496/klagomål/A 24996-2025 FSC-klagomål.docx", "A 24996-2025")</f>
        <v/>
      </c>
      <c r="AB37">
        <f>HYPERLINK("https://klasma.github.io/Logging_1496/klagomålsmail/A 24996-2025 FSC-klagomål mail.docx", "A 24996-2025")</f>
        <v/>
      </c>
      <c r="AC37">
        <f>HYPERLINK("https://klasma.github.io/Logging_1496/tillsyn/A 24996-2025 tillsynsbegäran.docx", "A 24996-2025")</f>
        <v/>
      </c>
      <c r="AD37">
        <f>HYPERLINK("https://klasma.github.io/Logging_1496/tillsynsmail/A 24996-2025 tillsynsbegäran mail.docx", "A 24996-2025")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46252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46252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46252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25093-2025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46252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Ask
Skogsalm</t>
        </is>
      </c>
      <c r="W41">
        <f>HYPERLINK("https://klasma.github.io/Logging_1496/artfynd/A 25093-2025 artfynd.xlsx", "A 25093-2025")</f>
        <v/>
      </c>
      <c r="X41">
        <f>HYPERLINK("https://klasma.github.io/Logging_1496/kartor/A 25093-2025 karta.png", "A 25093-2025")</f>
        <v/>
      </c>
      <c r="Y41">
        <f>HYPERLINK("https://klasma.github.io/Logging_1496/kartor_geotiff/A 25093-2025 georefererad karta.tif", "A 25093-2025")</f>
        <v/>
      </c>
      <c r="AA41">
        <f>HYPERLINK("https://klasma.github.io/Logging_1496/klagomål/A 25093-2025 FSC-klagomål.docx", "A 25093-2025")</f>
        <v/>
      </c>
      <c r="AB41">
        <f>HYPERLINK("https://klasma.github.io/Logging_1496/klagomålsmail/A 25093-2025 FSC-klagomål mail.docx", "A 25093-2025")</f>
        <v/>
      </c>
      <c r="AC41">
        <f>HYPERLINK("https://klasma.github.io/Logging_1496/tillsyn/A 25093-2025 tillsynsbegäran.docx", "A 25093-2025")</f>
        <v/>
      </c>
      <c r="AD41">
        <f>HYPERLINK("https://klasma.github.io/Logging_1496/tillsynsmail/A 25093-2025 tillsynsbegäran mail.docx", "A 25093-2025")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46252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46252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46252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46252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46252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46252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Svinrot</t>
        </is>
      </c>
      <c r="W47">
        <f>HYPERLINK("https://klasma.github.io/Logging_1496/artfynd/A 35919-2023 artfynd.xlsx", "A 35919-2023")</f>
        <v/>
      </c>
      <c r="X47">
        <f>HYPERLINK("https://klasma.github.io/Logging_1496/kartor/A 35919-2023 karta.png", "A 35919-2023")</f>
        <v/>
      </c>
      <c r="Y47">
        <f>HYPERLINK("https://klasma.github.io/Logging_1496/kartor_geotiff/A 35919-2023 georefererad karta.tif", "A 35919-2023")</f>
        <v/>
      </c>
      <c r="AA47">
        <f>HYPERLINK("https://klasma.github.io/Logging_1496/klagomål/A 35919-2023 FSC-klagomål.docx", "A 35919-2023")</f>
        <v/>
      </c>
      <c r="AB47">
        <f>HYPERLINK("https://klasma.github.io/Logging_1496/klagomålsmail/A 35919-2023 FSC-klagomål mail.docx", "A 35919-2023")</f>
        <v/>
      </c>
      <c r="AC47">
        <f>HYPERLINK("https://klasma.github.io/Logging_1496/tillsyn/A 35919-2023 tillsynsbegäran.docx", "A 35919-2023")</f>
        <v/>
      </c>
      <c r="AD47">
        <f>HYPERLINK("https://klasma.github.io/Logging_1496/tillsynsmail/A 35919-2023 tillsynsbegäran mail.docx", "A 35919-2023")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46252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46252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61213-2024 artfynd.xlsx", "A 61213-2024")</f>
        <v/>
      </c>
      <c r="X49">
        <f>HYPERLINK("https://klasma.github.io/Logging_1496/kartor/A 61213-2024 karta.png", "A 61213-2024")</f>
        <v/>
      </c>
      <c r="Y49">
        <f>HYPERLINK("https://klasma.github.io/Logging_1496/kartor_geotiff/A 61213-2024 georefererad karta.tif", "A 61213-2024")</f>
        <v/>
      </c>
      <c r="AA49">
        <f>HYPERLINK("https://klasma.github.io/Logging_1496/klagomål/A 61213-2024 FSC-klagomål.docx", "A 61213-2024")</f>
        <v/>
      </c>
      <c r="AB49">
        <f>HYPERLINK("https://klasma.github.io/Logging_1496/klagomålsmail/A 61213-2024 FSC-klagomål mail.docx", "A 61213-2024")</f>
        <v/>
      </c>
      <c r="AC49">
        <f>HYPERLINK("https://klasma.github.io/Logging_1496/tillsyn/A 61213-2024 tillsynsbegäran.docx", "A 61213-2024")</f>
        <v/>
      </c>
      <c r="AD49">
        <f>HYPERLINK("https://klasma.github.io/Logging_1496/tillsynsmail/A 61213-2024 tillsynsbegäran mail.docx", "A 61213-2024")</f>
        <v/>
      </c>
    </row>
    <row r="50" ht="15" customHeight="1">
      <c r="A50" t="inlineStr">
        <is>
          <t>A 17070-2025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46252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0.9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HYPERLINK("https://klasma.github.io/Logging_1496/artfynd/A 17070-2025 artfynd.xlsx", "A 17070-2025")</f>
        <v/>
      </c>
      <c r="X50">
        <f>HYPERLINK("https://klasma.github.io/Logging_1496/kartor/A 17070-2025 karta.png", "A 17070-2025")</f>
        <v/>
      </c>
      <c r="Y50">
        <f>HYPERLINK("https://klasma.github.io/Logging_1496/kartor_geotiff/A 17070-2025 georefererad karta.tif", "A 17070-2025")</f>
        <v/>
      </c>
      <c r="AA50">
        <f>HYPERLINK("https://klasma.github.io/Logging_1496/klagomål/A 17070-2025 FSC-klagomål.docx", "A 17070-2025")</f>
        <v/>
      </c>
      <c r="AB50">
        <f>HYPERLINK("https://klasma.github.io/Logging_1496/klagomålsmail/A 17070-2025 FSC-klagomål mail.docx", "A 17070-2025")</f>
        <v/>
      </c>
      <c r="AC50">
        <f>HYPERLINK("https://klasma.github.io/Logging_1496/tillsyn/A 17070-2025 tillsynsbegäran.docx", "A 17070-2025")</f>
        <v/>
      </c>
      <c r="AD50">
        <f>HYPERLINK("https://klasma.github.io/Logging_1496/tillsynsmail/A 17070-2025 tillsynsbegäran mail.docx", "A 17070-2025")</f>
        <v/>
      </c>
    </row>
    <row r="51" ht="15" customHeight="1">
      <c r="A51" t="inlineStr">
        <is>
          <t>A 42904-2023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46252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HYPERLINK("https://klasma.github.io/Logging_1496/artfynd/A 42904-2023 artfynd.xlsx", "A 42904-2023")</f>
        <v/>
      </c>
      <c r="X51">
        <f>HYPERLINK("https://klasma.github.io/Logging_1496/kartor/A 42904-2023 karta.png", "A 42904-2023")</f>
        <v/>
      </c>
      <c r="Y51">
        <f>HYPERLINK("https://klasma.github.io/Logging_1496/kartor_geotiff/A 42904-2023 georefererad karta.tif", "A 42904-2023")</f>
        <v/>
      </c>
      <c r="AA51">
        <f>HYPERLINK("https://klasma.github.io/Logging_1496/klagomål/A 42904-2023 FSC-klagomål.docx", "A 42904-2023")</f>
        <v/>
      </c>
      <c r="AB51">
        <f>HYPERLINK("https://klasma.github.io/Logging_1496/klagomålsmail/A 42904-2023 FSC-klagomål mail.docx", "A 42904-2023")</f>
        <v/>
      </c>
      <c r="AC51">
        <f>HYPERLINK("https://klasma.github.io/Logging_1496/tillsyn/A 42904-2023 tillsynsbegäran.docx", "A 42904-2023")</f>
        <v/>
      </c>
      <c r="AD51">
        <f>HYPERLINK("https://klasma.github.io/Logging_1496/tillsynsmail/A 42904-2023 tillsynsbegäran mail.docx", "A 42904-2023")</f>
        <v/>
      </c>
    </row>
    <row r="52" ht="15" customHeight="1">
      <c r="A52" t="inlineStr">
        <is>
          <t>A 52377-2023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45224</v>
      </c>
      <c r="E52" s="1" t="n">
        <v>46252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Kransrams</t>
        </is>
      </c>
      <c r="W52">
        <f>HYPERLINK("https://klasma.github.io/Logging_1496/artfynd/A 52377-2023 artfynd.xlsx", "A 52377-2023")</f>
        <v/>
      </c>
      <c r="X52">
        <f>HYPERLINK("https://klasma.github.io/Logging_1496/kartor/A 52377-2023 karta.png", "A 52377-2023")</f>
        <v/>
      </c>
      <c r="Y52">
        <f>HYPERLINK("https://klasma.github.io/Logging_1496/kartor_geotiff/A 52377-2023 georefererad karta.tif", "A 52377-2023")</f>
        <v/>
      </c>
      <c r="AA52">
        <f>HYPERLINK("https://klasma.github.io/Logging_1496/klagomål/A 52377-2023 FSC-klagomål.docx", "A 52377-2023")</f>
        <v/>
      </c>
      <c r="AB52">
        <f>HYPERLINK("https://klasma.github.io/Logging_1496/klagomålsmail/A 52377-2023 FSC-klagomål mail.docx", "A 52377-2023")</f>
        <v/>
      </c>
      <c r="AC52">
        <f>HYPERLINK("https://klasma.github.io/Logging_1496/tillsyn/A 52377-2023 tillsynsbegäran.docx", "A 52377-2023")</f>
        <v/>
      </c>
      <c r="AD52">
        <f>HYPERLINK("https://klasma.github.io/Logging_1496/tillsynsmail/A 52377-2023 tillsynsbegäran mail.docx", "A 52377-2023")</f>
        <v/>
      </c>
    </row>
    <row r="53" ht="15" customHeight="1">
      <c r="A53" t="inlineStr">
        <is>
          <t>A 4464-2026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46045</v>
      </c>
      <c r="E53" s="1" t="n">
        <v>46252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Myskmadra</t>
        </is>
      </c>
      <c r="W53">
        <f>HYPERLINK("https://klasma.github.io/Logging_1496/artfynd/A 4464-2026 artfynd.xlsx", "A 4464-2026")</f>
        <v/>
      </c>
      <c r="X53">
        <f>HYPERLINK("https://klasma.github.io/Logging_1496/kartor/A 4464-2026 karta.png", "A 4464-2026")</f>
        <v/>
      </c>
      <c r="Y53">
        <f>HYPERLINK("https://klasma.github.io/Logging_1496/kartor_geotiff/A 4464-2026 georefererad karta.tif", "A 4464-2026")</f>
        <v/>
      </c>
      <c r="AA53">
        <f>HYPERLINK("https://klasma.github.io/Logging_1496/klagomål/A 4464-2026 FSC-klagomål.docx", "A 4464-2026")</f>
        <v/>
      </c>
      <c r="AB53">
        <f>HYPERLINK("https://klasma.github.io/Logging_1496/klagomålsmail/A 4464-2026 FSC-klagomål mail.docx", "A 4464-2026")</f>
        <v/>
      </c>
      <c r="AC53">
        <f>HYPERLINK("https://klasma.github.io/Logging_1496/tillsyn/A 4464-2026 tillsynsbegäran.docx", "A 4464-2026")</f>
        <v/>
      </c>
      <c r="AD53">
        <f>HYPERLINK("https://klasma.github.io/Logging_1496/tillsynsmail/A 4464-2026 tillsynsbegäran mail.docx", "A 4464-2026")</f>
        <v/>
      </c>
    </row>
    <row r="54" ht="15" customHeight="1">
      <c r="A54" t="inlineStr">
        <is>
          <t>A 6093-2026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46052</v>
      </c>
      <c r="E54" s="1" t="n">
        <v>46252</v>
      </c>
      <c r="F54" t="inlineStr">
        <is>
          <t>VÄSTRA GÖTALANDS LÄN</t>
        </is>
      </c>
      <c r="G54" t="inlineStr">
        <is>
          <t>SKÖVDE</t>
        </is>
      </c>
      <c r="I54" t="n">
        <v>5.8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Svinrot</t>
        </is>
      </c>
      <c r="W54">
        <f>HYPERLINK("https://klasma.github.io/Logging_1496/artfynd/A 6093-2026 artfynd.xlsx", "A 6093-2026")</f>
        <v/>
      </c>
      <c r="X54">
        <f>HYPERLINK("https://klasma.github.io/Logging_1496/kartor/A 6093-2026 karta.png", "A 6093-2026")</f>
        <v/>
      </c>
      <c r="Y54">
        <f>HYPERLINK("https://klasma.github.io/Logging_1496/kartor_geotiff/A 6093-2026 georefererad karta.tif", "A 6093-2026")</f>
        <v/>
      </c>
      <c r="AA54">
        <f>HYPERLINK("https://klasma.github.io/Logging_1496/klagomål/A 6093-2026 FSC-klagomål.docx", "A 6093-2026")</f>
        <v/>
      </c>
      <c r="AB54">
        <f>HYPERLINK("https://klasma.github.io/Logging_1496/klagomålsmail/A 6093-2026 FSC-klagomål mail.docx", "A 6093-2026")</f>
        <v/>
      </c>
      <c r="AC54">
        <f>HYPERLINK("https://klasma.github.io/Logging_1496/tillsyn/A 6093-2026 tillsynsbegäran.docx", "A 6093-2026")</f>
        <v/>
      </c>
      <c r="AD54">
        <f>HYPERLINK("https://klasma.github.io/Logging_1496/tillsynsmail/A 6093-2026 tillsynsbegäran mail.docx", "A 6093-2026")</f>
        <v/>
      </c>
    </row>
    <row r="55" ht="15" customHeight="1">
      <c r="A55" t="inlineStr">
        <is>
          <t>A 26800-2026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46185</v>
      </c>
      <c r="E55" s="1" t="n">
        <v>46252</v>
      </c>
      <c r="F55" t="inlineStr">
        <is>
          <t>VÄSTRA GÖTALANDS LÄN</t>
        </is>
      </c>
      <c r="G55" t="inlineStr">
        <is>
          <t>SKÖVDE</t>
        </is>
      </c>
      <c r="I55" t="n">
        <v>1.1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Tibast</t>
        </is>
      </c>
      <c r="W55">
        <f>HYPERLINK("https://klasma.github.io/Logging_1496/artfynd/A 26800-2026 artfynd.xlsx", "A 26800-2026")</f>
        <v/>
      </c>
      <c r="X55">
        <f>HYPERLINK("https://klasma.github.io/Logging_1496/kartor/A 26800-2026 karta.png", "A 26800-2026")</f>
        <v/>
      </c>
      <c r="Y55">
        <f>HYPERLINK("https://klasma.github.io/Logging_1496/kartor_geotiff/A 26800-2026 georefererad karta.tif", "A 26800-2026")</f>
        <v/>
      </c>
      <c r="AA55">
        <f>HYPERLINK("https://klasma.github.io/Logging_1496/klagomål/A 26800-2026 FSC-klagomål.docx", "A 26800-2026")</f>
        <v/>
      </c>
      <c r="AB55">
        <f>HYPERLINK("https://klasma.github.io/Logging_1496/klagomålsmail/A 26800-2026 FSC-klagomål mail.docx", "A 26800-2026")</f>
        <v/>
      </c>
      <c r="AC55">
        <f>HYPERLINK("https://klasma.github.io/Logging_1496/tillsyn/A 26800-2026 tillsynsbegäran.docx", "A 26800-2026")</f>
        <v/>
      </c>
      <c r="AD55">
        <f>HYPERLINK("https://klasma.github.io/Logging_1496/tillsynsmail/A 26800-2026 tillsynsbegäran mail.docx", "A 26800-2026")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46252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3951-2024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46252</v>
      </c>
      <c r="F57" t="inlineStr">
        <is>
          <t>VÄSTRA GÖTALANDS LÄN</t>
        </is>
      </c>
      <c r="G57" t="inlineStr">
        <is>
          <t>SKÖVDE</t>
        </is>
      </c>
      <c r="I57" t="n">
        <v>10.7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HYPERLINK("https://klasma.github.io/Logging_1496/artfynd/A 3951-2024 artfynd.xlsx", "A 3951-2024")</f>
        <v/>
      </c>
      <c r="X57">
        <f>HYPERLINK("https://klasma.github.io/Logging_1496/kartor/A 3951-2024 karta.png", "A 3951-2024")</f>
        <v/>
      </c>
      <c r="Y57">
        <f>HYPERLINK("https://klasma.github.io/Logging_1496/kartor_geotiff/A 3951-2024 georefererad karta.tif", "A 3951-2024")</f>
        <v/>
      </c>
      <c r="AA57">
        <f>HYPERLINK("https://klasma.github.io/Logging_1496/klagomål/A 3951-2024 FSC-klagomål.docx", "A 3951-2024")</f>
        <v/>
      </c>
      <c r="AB57">
        <f>HYPERLINK("https://klasma.github.io/Logging_1496/klagomålsmail/A 3951-2024 FSC-klagomål mail.docx", "A 3951-2024")</f>
        <v/>
      </c>
      <c r="AC57">
        <f>HYPERLINK("https://klasma.github.io/Logging_1496/tillsyn/A 3951-2024 tillsynsbegäran.docx", "A 3951-2024")</f>
        <v/>
      </c>
      <c r="AD57">
        <f>HYPERLINK("https://klasma.github.io/Logging_1496/tillsynsmail/A 3951-2024 tillsynsbegäran mail.docx", "A 3951-2024")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46252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17452-2023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46252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HYPERLINK("https://klasma.github.io/Logging_1496/artfynd/A 17452-2023 artfynd.xlsx", "A 17452-2023")</f>
        <v/>
      </c>
      <c r="X59">
        <f>HYPERLINK("https://klasma.github.io/Logging_1496/kartor/A 17452-2023 karta.png", "A 17452-2023")</f>
        <v/>
      </c>
      <c r="Y59">
        <f>HYPERLINK("https://klasma.github.io/Logging_1496/kartor_geotiff/A 17452-2023 georefererad karta.tif", "A 17452-2023")</f>
        <v/>
      </c>
      <c r="AA59">
        <f>HYPERLINK("https://klasma.github.io/Logging_1496/klagomål/A 17452-2023 FSC-klagomål.docx", "A 17452-2023")</f>
        <v/>
      </c>
      <c r="AB59">
        <f>HYPERLINK("https://klasma.github.io/Logging_1496/klagomålsmail/A 17452-2023 FSC-klagomål mail.docx", "A 17452-2023")</f>
        <v/>
      </c>
      <c r="AC59">
        <f>HYPERLINK("https://klasma.github.io/Logging_1496/tillsyn/A 17452-2023 tillsynsbegäran.docx", "A 17452-2023")</f>
        <v/>
      </c>
      <c r="AD59">
        <f>HYPERLINK("https://klasma.github.io/Logging_1496/tillsynsmail/A 17452-2023 tillsynsbegäran mail.docx", "A 17452-2023")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46252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28717-2026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46198</v>
      </c>
      <c r="E61" s="1" t="n">
        <v>46252</v>
      </c>
      <c r="F61" t="inlineStr">
        <is>
          <t>VÄSTRA GÖTALANDS LÄN</t>
        </is>
      </c>
      <c r="G61" t="inlineStr">
        <is>
          <t>SKÖVDE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HYPERLINK("https://klasma.github.io/Logging_1496/artfynd/A 28717-2026 artfynd.xlsx", "A 28717-2026")</f>
        <v/>
      </c>
      <c r="X61">
        <f>HYPERLINK("https://klasma.github.io/Logging_1496/kartor/A 28717-2026 karta.png", "A 28717-2026")</f>
        <v/>
      </c>
      <c r="Y61">
        <f>HYPERLINK("https://klasma.github.io/Logging_1496/kartor_geotiff/A 28717-2026 georefererad karta.tif", "A 28717-2026")</f>
        <v/>
      </c>
      <c r="AA61">
        <f>HYPERLINK("https://klasma.github.io/Logging_1496/klagomål/A 28717-2026 FSC-klagomål.docx", "A 28717-2026")</f>
        <v/>
      </c>
      <c r="AB61">
        <f>HYPERLINK("https://klasma.github.io/Logging_1496/klagomålsmail/A 28717-2026 FSC-klagomål mail.docx", "A 28717-2026")</f>
        <v/>
      </c>
      <c r="AC61">
        <f>HYPERLINK("https://klasma.github.io/Logging_1496/tillsyn/A 28717-2026 tillsynsbegäran.docx", "A 28717-2026")</f>
        <v/>
      </c>
      <c r="AD61">
        <f>HYPERLINK("https://klasma.github.io/Logging_1496/tillsynsmail/A 28717-2026 tillsynsbegäran mail.docx", "A 28717-2026")</f>
        <v/>
      </c>
    </row>
    <row r="62" ht="15" customHeight="1">
      <c r="A62" t="inlineStr">
        <is>
          <t>A 24814-2026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46173</v>
      </c>
      <c r="E62" s="1" t="n">
        <v>46252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HYPERLINK("https://klasma.github.io/Logging_1496/artfynd/A 24814-2026 artfynd.xlsx", "A 24814-2026")</f>
        <v/>
      </c>
      <c r="X62">
        <f>HYPERLINK("https://klasma.github.io/Logging_1496/kartor/A 24814-2026 karta.png", "A 24814-2026")</f>
        <v/>
      </c>
      <c r="Y62">
        <f>HYPERLINK("https://klasma.github.io/Logging_1496/kartor_geotiff/A 24814-2026 georefererad karta.tif", "A 24814-2026")</f>
        <v/>
      </c>
      <c r="AA62">
        <f>HYPERLINK("https://klasma.github.io/Logging_1496/klagomål/A 24814-2026 FSC-klagomål.docx", "A 24814-2026")</f>
        <v/>
      </c>
      <c r="AB62">
        <f>HYPERLINK("https://klasma.github.io/Logging_1496/klagomålsmail/A 24814-2026 FSC-klagomål mail.docx", "A 24814-2026")</f>
        <v/>
      </c>
      <c r="AC62">
        <f>HYPERLINK("https://klasma.github.io/Logging_1496/tillsyn/A 24814-2026 tillsynsbegäran.docx", "A 24814-2026")</f>
        <v/>
      </c>
      <c r="AD62">
        <f>HYPERLINK("https://klasma.github.io/Logging_1496/tillsynsmail/A 24814-2026 tillsynsbegäran mail.docx", "A 24814-2026")</f>
        <v/>
      </c>
    </row>
    <row r="63" ht="15" customHeight="1">
      <c r="A63" t="inlineStr">
        <is>
          <t>A 26712-2025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45810</v>
      </c>
      <c r="E63" s="1" t="n">
        <v>46252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HYPERLINK("https://klasma.github.io/Logging_1496/artfynd/A 26712-2025 artfynd.xlsx", "A 26712-2025")</f>
        <v/>
      </c>
      <c r="X63">
        <f>HYPERLINK("https://klasma.github.io/Logging_1496/kartor/A 26712-2025 karta.png", "A 26712-2025")</f>
        <v/>
      </c>
      <c r="Y63">
        <f>HYPERLINK("https://klasma.github.io/Logging_1496/kartor_geotiff/A 26712-2025 georefererad karta.tif", "A 26712-2025")</f>
        <v/>
      </c>
      <c r="AA63">
        <f>HYPERLINK("https://klasma.github.io/Logging_1496/klagomål/A 26712-2025 FSC-klagomål.docx", "A 26712-2025")</f>
        <v/>
      </c>
      <c r="AB63">
        <f>HYPERLINK("https://klasma.github.io/Logging_1496/klagomålsmail/A 26712-2025 FSC-klagomål mail.docx", "A 26712-2025")</f>
        <v/>
      </c>
      <c r="AC63">
        <f>HYPERLINK("https://klasma.github.io/Logging_1496/tillsyn/A 26712-2025 tillsynsbegäran.docx", "A 26712-2025")</f>
        <v/>
      </c>
      <c r="AD63">
        <f>HYPERLINK("https://klasma.github.io/Logging_1496/tillsynsmail/A 26712-2025 tillsynsbegäran mail.docx", "A 26712-2025")</f>
        <v/>
      </c>
    </row>
    <row r="64" ht="15" customHeight="1">
      <c r="A64" t="inlineStr">
        <is>
          <t>S 809-2023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44986</v>
      </c>
      <c r="E64" s="1" t="n">
        <v>46252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Kyrkan</t>
        </is>
      </c>
      <c r="I64" t="n">
        <v>40.9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1</v>
      </c>
      <c r="V64" s="2" t="inlineStr">
        <is>
          <t>Motaggsvamp</t>
        </is>
      </c>
      <c r="W64">
        <f>HYPERLINK("https://klasma.github.io/Logging_1496/artfynd/S 809-2023 artfynd.xlsx", "S 809-2023")</f>
        <v/>
      </c>
      <c r="X64">
        <f>HYPERLINK("https://klasma.github.io/Logging_1496/kartor/S 809-2023 karta.png", "S 809-2023")</f>
        <v/>
      </c>
      <c r="Y64">
        <f>HYPERLINK("https://klasma.github.io/Logging_1496/kartor_geotiff/S 809-2023 georefererad karta.tif", "S 809-2023")</f>
        <v/>
      </c>
      <c r="AA64">
        <f>HYPERLINK("https://klasma.github.io/Logging_1496/klagomål/S 809-2023 FSC-klagomål.docx", "S 809-2023")</f>
        <v/>
      </c>
      <c r="AB64">
        <f>HYPERLINK("https://klasma.github.io/Logging_1496/klagomålsmail/S 809-2023 FSC-klagomål mail.docx", "S 809-2023")</f>
        <v/>
      </c>
      <c r="AC64">
        <f>HYPERLINK("https://klasma.github.io/Logging_1496/tillsyn/S 809-2023 tillsynsbegäran.docx", "S 809-2023")</f>
        <v/>
      </c>
      <c r="AD64">
        <f>HYPERLINK("https://klasma.github.io/Logging_1496/tillsynsmail/S 809-2023 tillsynsbegäran mail.docx", "S 809-2023")</f>
        <v/>
      </c>
    </row>
    <row r="65" ht="15" customHeight="1">
      <c r="A65" t="inlineStr">
        <is>
          <t>A 46086-2021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46252</v>
      </c>
      <c r="F65" t="inlineStr">
        <is>
          <t>VÄSTRA GÖTALANDS LÄN</t>
        </is>
      </c>
      <c r="G65" t="inlineStr">
        <is>
          <t>SKÖVDE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46252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44609</v>
      </c>
      <c r="E67" s="1" t="n">
        <v>46252</v>
      </c>
      <c r="F67" t="inlineStr">
        <is>
          <t>VÄSTRA GÖTALANDS LÄN</t>
        </is>
      </c>
      <c r="G67" t="inlineStr">
        <is>
          <t>SKÖVDE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44543</v>
      </c>
      <c r="E68" s="1" t="n">
        <v>46252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Naturvårdsverket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65804-2021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46252</v>
      </c>
      <c r="F69" t="inlineStr">
        <is>
          <t>VÄSTRA GÖTALANDS LÄN</t>
        </is>
      </c>
      <c r="G69" t="inlineStr">
        <is>
          <t>SKÖVDE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45379-2022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46252</v>
      </c>
      <c r="F70" t="inlineStr">
        <is>
          <t>VÄSTRA GÖTALANDS LÄN</t>
        </is>
      </c>
      <c r="G70" t="inlineStr">
        <is>
          <t>SKÖVDE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44567</v>
      </c>
      <c r="E71" s="1" t="n">
        <v>46252</v>
      </c>
      <c r="F71" t="inlineStr">
        <is>
          <t>VÄSTRA GÖTALANDS LÄN</t>
        </is>
      </c>
      <c r="G71" t="inlineStr">
        <is>
          <t>SKÖVDE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46252</v>
      </c>
      <c r="F72" t="inlineStr">
        <is>
          <t>VÄSTRA GÖTALANDS LÄN</t>
        </is>
      </c>
      <c r="G72" t="inlineStr">
        <is>
          <t>SKÖVDE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46252</v>
      </c>
      <c r="F73" t="inlineStr">
        <is>
          <t>VÄSTRA GÖTALANDS LÄN</t>
        </is>
      </c>
      <c r="G73" t="inlineStr">
        <is>
          <t>SKÖVDE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46252</v>
      </c>
      <c r="F74" t="inlineStr">
        <is>
          <t>VÄSTRA GÖTALANDS LÄN</t>
        </is>
      </c>
      <c r="G74" t="inlineStr">
        <is>
          <t>SKÖVDE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46252</v>
      </c>
      <c r="F75" t="inlineStr">
        <is>
          <t>VÄSTRA GÖTALANDS LÄN</t>
        </is>
      </c>
      <c r="G75" t="inlineStr">
        <is>
          <t>SKÖVDE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46252</v>
      </c>
      <c r="F76" t="inlineStr">
        <is>
          <t>VÄSTRA GÖTALANDS LÄN</t>
        </is>
      </c>
      <c r="G76" t="inlineStr">
        <is>
          <t>SKÖVDE</t>
        </is>
      </c>
      <c r="H76" t="inlineStr">
        <is>
          <t>Kyrkan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46252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44740</v>
      </c>
      <c r="E78" s="1" t="n">
        <v>46252</v>
      </c>
      <c r="F78" t="inlineStr">
        <is>
          <t>VÄSTRA GÖTALANDS LÄN</t>
        </is>
      </c>
      <c r="G78" t="inlineStr">
        <is>
          <t>SKÖVDE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69119-2021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44530</v>
      </c>
      <c r="E79" s="1" t="n">
        <v>46252</v>
      </c>
      <c r="F79" t="inlineStr">
        <is>
          <t>VÄSTRA GÖTALANDS LÄN</t>
        </is>
      </c>
      <c r="G79" t="inlineStr">
        <is>
          <t>SKÖVDE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46252</v>
      </c>
      <c r="F80" t="inlineStr">
        <is>
          <t>VÄSTRA GÖTALANDS LÄN</t>
        </is>
      </c>
      <c r="G80" t="inlineStr">
        <is>
          <t>SKÖVDE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44847</v>
      </c>
      <c r="E81" s="1" t="n">
        <v>46252</v>
      </c>
      <c r="F81" t="inlineStr">
        <is>
          <t>VÄSTRA GÖTALANDS LÄN</t>
        </is>
      </c>
      <c r="G81" t="inlineStr">
        <is>
          <t>SKÖVDE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26620-2025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45810</v>
      </c>
      <c r="E82" s="1" t="n">
        <v>46252</v>
      </c>
      <c r="F82" t="inlineStr">
        <is>
          <t>VÄSTRA GÖTALANDS LÄN</t>
        </is>
      </c>
      <c r="G82" t="inlineStr">
        <is>
          <t>SKÖVDE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46252</v>
      </c>
      <c r="F83" t="inlineStr">
        <is>
          <t>VÄSTRA GÖTALANDS LÄN</t>
        </is>
      </c>
      <c r="G83" t="inlineStr">
        <is>
          <t>SKÖVDE</t>
        </is>
      </c>
      <c r="I83" t="n">
        <v>12.3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44635</v>
      </c>
      <c r="E84" s="1" t="n">
        <v>46252</v>
      </c>
      <c r="F84" t="inlineStr">
        <is>
          <t>VÄSTRA GÖTALANDS LÄN</t>
        </is>
      </c>
      <c r="G84" t="inlineStr">
        <is>
          <t>SKÖVDE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45756</v>
      </c>
      <c r="E85" s="1" t="n">
        <v>46252</v>
      </c>
      <c r="F85" t="inlineStr">
        <is>
          <t>VÄSTRA GÖTALANDS LÄN</t>
        </is>
      </c>
      <c r="G85" t="inlineStr">
        <is>
          <t>SKÖVDE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46252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46252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46252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45821</v>
      </c>
      <c r="E89" s="1" t="n">
        <v>46252</v>
      </c>
      <c r="F89" t="inlineStr">
        <is>
          <t>VÄSTRA GÖTALANDS LÄN</t>
        </is>
      </c>
      <c r="G89" t="inlineStr">
        <is>
          <t>SKÖVDE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29023-2025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45821</v>
      </c>
      <c r="E90" s="1" t="n">
        <v>46252</v>
      </c>
      <c r="F90" t="inlineStr">
        <is>
          <t>VÄSTRA GÖTALANDS LÄN</t>
        </is>
      </c>
      <c r="G90" t="inlineStr">
        <is>
          <t>SKÖVDE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46252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29017-2025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45821</v>
      </c>
      <c r="E92" s="1" t="n">
        <v>46252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45821</v>
      </c>
      <c r="E93" s="1" t="n">
        <v>46252</v>
      </c>
      <c r="F93" t="inlineStr">
        <is>
          <t>VÄSTRA GÖTALANDS LÄN</t>
        </is>
      </c>
      <c r="G93" t="inlineStr">
        <is>
          <t>SKÖVDE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45827</v>
      </c>
      <c r="E94" s="1" t="n">
        <v>46252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46252</v>
      </c>
      <c r="F95" t="inlineStr">
        <is>
          <t>VÄSTRA GÖTALANDS LÄN</t>
        </is>
      </c>
      <c r="G95" t="inlineStr">
        <is>
          <t>SKÖVDE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46252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44586</v>
      </c>
      <c r="E97" s="1" t="n">
        <v>46252</v>
      </c>
      <c r="F97" t="inlineStr">
        <is>
          <t>VÄSTRA GÖTALANDS LÄN</t>
        </is>
      </c>
      <c r="G97" t="inlineStr">
        <is>
          <t>SKÖVDE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44762</v>
      </c>
      <c r="E98" s="1" t="n">
        <v>46252</v>
      </c>
      <c r="F98" t="inlineStr">
        <is>
          <t>VÄSTRA GÖTALANDS LÄN</t>
        </is>
      </c>
      <c r="G98" t="inlineStr">
        <is>
          <t>SKÖVDE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45853</v>
      </c>
      <c r="E99" s="1" t="n">
        <v>46252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46252</v>
      </c>
      <c r="F100" t="inlineStr">
        <is>
          <t>VÄSTRA GÖTALANDS LÄN</t>
        </is>
      </c>
      <c r="G100" t="inlineStr">
        <is>
          <t>SKÖVDE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27671-2022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46252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46252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Kyrkan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46252</v>
      </c>
      <c r="F103" t="inlineStr">
        <is>
          <t>VÄSTRA GÖTALANDS LÄN</t>
        </is>
      </c>
      <c r="G103" t="inlineStr">
        <is>
          <t>SKÖVDE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46252</v>
      </c>
      <c r="F104" t="inlineStr">
        <is>
          <t>VÄSTRA GÖTALANDS LÄN</t>
        </is>
      </c>
      <c r="G104" t="inlineStr">
        <is>
          <t>SKÖVDE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46252</v>
      </c>
      <c r="F105" t="inlineStr">
        <is>
          <t>VÄSTRA GÖTALANDS LÄN</t>
        </is>
      </c>
      <c r="G105" t="inlineStr">
        <is>
          <t>SKÖVDE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45709</v>
      </c>
      <c r="E106" s="1" t="n">
        <v>46252</v>
      </c>
      <c r="F106" t="inlineStr">
        <is>
          <t>VÄSTRA GÖTALANDS LÄN</t>
        </is>
      </c>
      <c r="G106" t="inlineStr">
        <is>
          <t>SKÖVDE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35280-2024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45530</v>
      </c>
      <c r="E107" s="1" t="n">
        <v>46252</v>
      </c>
      <c r="F107" t="inlineStr">
        <is>
          <t>VÄSTRA GÖTALANDS LÄN</t>
        </is>
      </c>
      <c r="G107" t="inlineStr">
        <is>
          <t>SKÖVDE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44959</v>
      </c>
      <c r="E108" s="1" t="n">
        <v>46252</v>
      </c>
      <c r="F108" t="inlineStr">
        <is>
          <t>VÄSTRA GÖTALANDS LÄN</t>
        </is>
      </c>
      <c r="G108" t="inlineStr">
        <is>
          <t>SKÖVDE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45401</v>
      </c>
      <c r="E109" s="1" t="n">
        <v>46252</v>
      </c>
      <c r="F109" t="inlineStr">
        <is>
          <t>VÄSTRA GÖTALANDS LÄN</t>
        </is>
      </c>
      <c r="G109" t="inlineStr">
        <is>
          <t>SKÖVDE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44963</v>
      </c>
      <c r="E110" s="1" t="n">
        <v>46252</v>
      </c>
      <c r="F110" t="inlineStr">
        <is>
          <t>VÄSTRA GÖTALANDS LÄN</t>
        </is>
      </c>
      <c r="G110" t="inlineStr">
        <is>
          <t>SKÖVDE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46252</v>
      </c>
      <c r="F111" t="inlineStr">
        <is>
          <t>VÄSTRA GÖTALANDS LÄN</t>
        </is>
      </c>
      <c r="G111" t="inlineStr">
        <is>
          <t>SKÖVDE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45138</v>
      </c>
      <c r="E112" s="1" t="n">
        <v>46252</v>
      </c>
      <c r="F112" t="inlineStr">
        <is>
          <t>VÄSTRA GÖTALANDS LÄN</t>
        </is>
      </c>
      <c r="G112" t="inlineStr">
        <is>
          <t>SKÖVDE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45320</v>
      </c>
      <c r="E113" s="1" t="n">
        <v>46252</v>
      </c>
      <c r="F113" t="inlineStr">
        <is>
          <t>VÄSTRA GÖTALANDS LÄN</t>
        </is>
      </c>
      <c r="G113" t="inlineStr">
        <is>
          <t>SKÖVDE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46252</v>
      </c>
      <c r="F114" t="inlineStr">
        <is>
          <t>VÄSTRA GÖTALANDS LÄN</t>
        </is>
      </c>
      <c r="G114" t="inlineStr">
        <is>
          <t>SKÖVDE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60117-2021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44495</v>
      </c>
      <c r="E115" s="1" t="n">
        <v>46252</v>
      </c>
      <c r="F115" t="inlineStr">
        <is>
          <t>VÄSTRA GÖTALANDS LÄN</t>
        </is>
      </c>
      <c r="G115" t="inlineStr">
        <is>
          <t>SKÖVDE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46252</v>
      </c>
      <c r="F116" t="inlineStr">
        <is>
          <t>VÄSTRA GÖTALANDS LÄN</t>
        </is>
      </c>
      <c r="G116" t="inlineStr">
        <is>
          <t>SKÖVDE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46252</v>
      </c>
      <c r="F117" t="inlineStr">
        <is>
          <t>VÄSTRA GÖTALANDS LÄN</t>
        </is>
      </c>
      <c r="G117" t="inlineStr">
        <is>
          <t>SKÖVDE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46252</v>
      </c>
      <c r="F118" t="inlineStr">
        <is>
          <t>VÄSTRA GÖTALANDS LÄN</t>
        </is>
      </c>
      <c r="G118" t="inlineStr">
        <is>
          <t>SKÖVDE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46252</v>
      </c>
      <c r="F119" t="inlineStr">
        <is>
          <t>VÄSTRA GÖTALANDS LÄN</t>
        </is>
      </c>
      <c r="G119" t="inlineStr">
        <is>
          <t>SKÖVDE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45842</v>
      </c>
      <c r="E120" s="1" t="n">
        <v>46252</v>
      </c>
      <c r="F120" t="inlineStr">
        <is>
          <t>VÄSTRA GÖTALANDS LÄN</t>
        </is>
      </c>
      <c r="G120" t="inlineStr">
        <is>
          <t>SKÖVDE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46252</v>
      </c>
      <c r="F121" t="inlineStr">
        <is>
          <t>VÄSTRA GÖTALANDS LÄN</t>
        </is>
      </c>
      <c r="G121" t="inlineStr">
        <is>
          <t>SKÖVDE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45846</v>
      </c>
      <c r="E122" s="1" t="n">
        <v>46252</v>
      </c>
      <c r="F122" t="inlineStr">
        <is>
          <t>VÄSTRA GÖTALANDS LÄN</t>
        </is>
      </c>
      <c r="G122" t="inlineStr">
        <is>
          <t>SKÖVDE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45846</v>
      </c>
      <c r="E123" s="1" t="n">
        <v>46252</v>
      </c>
      <c r="F123" t="inlineStr">
        <is>
          <t>VÄSTRA GÖTALANDS LÄN</t>
        </is>
      </c>
      <c r="G123" t="inlineStr">
        <is>
          <t>SKÖVDE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45846</v>
      </c>
      <c r="E124" s="1" t="n">
        <v>46252</v>
      </c>
      <c r="F124" t="inlineStr">
        <is>
          <t>VÄSTRA GÖTALANDS LÄN</t>
        </is>
      </c>
      <c r="G124" t="inlineStr">
        <is>
          <t>SKÖVDE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46252</v>
      </c>
      <c r="F125" t="inlineStr">
        <is>
          <t>VÄSTRA GÖTALANDS LÄN</t>
        </is>
      </c>
      <c r="G125" t="inlineStr">
        <is>
          <t>SKÖVDE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46252</v>
      </c>
      <c r="F126" t="inlineStr">
        <is>
          <t>VÄSTRA GÖTALANDS LÄN</t>
        </is>
      </c>
      <c r="G126" t="inlineStr">
        <is>
          <t>SKÖVDE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45322</v>
      </c>
      <c r="E127" s="1" t="n">
        <v>46252</v>
      </c>
      <c r="F127" t="inlineStr">
        <is>
          <t>VÄSTRA GÖTALANDS LÄN</t>
        </is>
      </c>
      <c r="G127" t="inlineStr">
        <is>
          <t>SKÖVDE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45693</v>
      </c>
      <c r="E128" s="1" t="n">
        <v>46252</v>
      </c>
      <c r="F128" t="inlineStr">
        <is>
          <t>VÄSTRA GÖTALANDS LÄN</t>
        </is>
      </c>
      <c r="G128" t="inlineStr">
        <is>
          <t>SKÖVDE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45306</v>
      </c>
      <c r="E129" s="1" t="n">
        <v>46252</v>
      </c>
      <c r="F129" t="inlineStr">
        <is>
          <t>VÄSTRA GÖTALANDS LÄN</t>
        </is>
      </c>
      <c r="G129" t="inlineStr">
        <is>
          <t>SKÖVDE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46252</v>
      </c>
      <c r="F130" t="inlineStr">
        <is>
          <t>VÄSTRA GÖTALANDS LÄN</t>
        </is>
      </c>
      <c r="G130" t="inlineStr">
        <is>
          <t>SKÖVDE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46252</v>
      </c>
      <c r="F131" t="inlineStr">
        <is>
          <t>VÄSTRA GÖTALANDS LÄN</t>
        </is>
      </c>
      <c r="G131" t="inlineStr">
        <is>
          <t>SKÖVDE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46252</v>
      </c>
      <c r="F132" t="inlineStr">
        <is>
          <t>VÄSTRA GÖTALANDS LÄN</t>
        </is>
      </c>
      <c r="G132" t="inlineStr">
        <is>
          <t>SKÖVDE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45324</v>
      </c>
      <c r="E133" s="1" t="n">
        <v>46252</v>
      </c>
      <c r="F133" t="inlineStr">
        <is>
          <t>VÄSTRA GÖTALANDS LÄN</t>
        </is>
      </c>
      <c r="G133" t="inlineStr">
        <is>
          <t>SKÖVDE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46252</v>
      </c>
      <c r="F134" t="inlineStr">
        <is>
          <t>VÄSTRA GÖTALANDS LÄN</t>
        </is>
      </c>
      <c r="G134" t="inlineStr">
        <is>
          <t>SKÖVDE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37204-2024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45539</v>
      </c>
      <c r="E135" s="1" t="n">
        <v>46252</v>
      </c>
      <c r="F135" t="inlineStr">
        <is>
          <t>VÄSTRA GÖTALANDS LÄN</t>
        </is>
      </c>
      <c r="G135" t="inlineStr">
        <is>
          <t>SKÖVDE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46252</v>
      </c>
      <c r="F136" t="inlineStr">
        <is>
          <t>VÄSTRA GÖTALANDS LÄN</t>
        </is>
      </c>
      <c r="G136" t="inlineStr">
        <is>
          <t>SKÖVDE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46252</v>
      </c>
      <c r="F137" t="inlineStr">
        <is>
          <t>VÄSTRA GÖTALANDS LÄN</t>
        </is>
      </c>
      <c r="G137" t="inlineStr">
        <is>
          <t>SKÖVDE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45749</v>
      </c>
      <c r="E138" s="1" t="n">
        <v>46252</v>
      </c>
      <c r="F138" t="inlineStr">
        <is>
          <t>VÄSTRA GÖTALANDS LÄN</t>
        </is>
      </c>
      <c r="G138" t="inlineStr">
        <is>
          <t>SKÖVDE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46252</v>
      </c>
      <c r="F139" t="inlineStr">
        <is>
          <t>VÄSTRA GÖTALANDS LÄN</t>
        </is>
      </c>
      <c r="G139" t="inlineStr">
        <is>
          <t>SKÖVDE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46252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Kommuner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45694</v>
      </c>
      <c r="E141" s="1" t="n">
        <v>46252</v>
      </c>
      <c r="F141" t="inlineStr">
        <is>
          <t>VÄSTRA GÖTALANDS LÄN</t>
        </is>
      </c>
      <c r="G141" t="inlineStr">
        <is>
          <t>SKÖVDE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44601</v>
      </c>
      <c r="E142" s="1" t="n">
        <v>46252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45230</v>
      </c>
      <c r="E143" s="1" t="n">
        <v>46252</v>
      </c>
      <c r="F143" t="inlineStr">
        <is>
          <t>VÄSTRA GÖTALANDS LÄN</t>
        </is>
      </c>
      <c r="G143" t="inlineStr">
        <is>
          <t>SKÖVDE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46252</v>
      </c>
      <c r="F144" t="inlineStr">
        <is>
          <t>VÄSTRA GÖTALANDS LÄN</t>
        </is>
      </c>
      <c r="G144" t="inlineStr">
        <is>
          <t>SKÖVDE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46252</v>
      </c>
      <c r="F145" t="inlineStr">
        <is>
          <t>VÄSTRA GÖTALANDS LÄN</t>
        </is>
      </c>
      <c r="G145" t="inlineStr">
        <is>
          <t>SKÖVDE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46252</v>
      </c>
      <c r="F146" t="inlineStr">
        <is>
          <t>VÄSTRA GÖTALANDS LÄN</t>
        </is>
      </c>
      <c r="G146" t="inlineStr">
        <is>
          <t>SKÖVDE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46252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46252</v>
      </c>
      <c r="F148" t="inlineStr">
        <is>
          <t>VÄSTRA GÖTALANDS LÄN</t>
        </is>
      </c>
      <c r="G148" t="inlineStr">
        <is>
          <t>SKÖVDE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46252</v>
      </c>
      <c r="F149" t="inlineStr">
        <is>
          <t>VÄSTRA GÖTALANDS LÄN</t>
        </is>
      </c>
      <c r="G149" t="inlineStr">
        <is>
          <t>SKÖVDE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46252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38750-2023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46252</v>
      </c>
      <c r="F151" t="inlineStr">
        <is>
          <t>VÄSTRA GÖTALANDS LÄN</t>
        </is>
      </c>
      <c r="G151" t="inlineStr">
        <is>
          <t>SKÖVDE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45013</v>
      </c>
      <c r="E152" s="1" t="n">
        <v>46252</v>
      </c>
      <c r="F152" t="inlineStr">
        <is>
          <t>VÄSTRA GÖTALANDS LÄN</t>
        </is>
      </c>
      <c r="G152" t="inlineStr">
        <is>
          <t>SKÖVDE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45215</v>
      </c>
      <c r="E153" s="1" t="n">
        <v>46252</v>
      </c>
      <c r="F153" t="inlineStr">
        <is>
          <t>VÄSTRA GÖTALANDS LÄN</t>
        </is>
      </c>
      <c r="G153" t="inlineStr">
        <is>
          <t>SKÖVDE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45586</v>
      </c>
      <c r="E154" s="1" t="n">
        <v>46252</v>
      </c>
      <c r="F154" t="inlineStr">
        <is>
          <t>VÄSTRA GÖTALANDS LÄN</t>
        </is>
      </c>
      <c r="G154" t="inlineStr">
        <is>
          <t>SKÖVDE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25168-2023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45086</v>
      </c>
      <c r="E155" s="1" t="n">
        <v>46252</v>
      </c>
      <c r="F155" t="inlineStr">
        <is>
          <t>VÄSTRA GÖTALANDS LÄN</t>
        </is>
      </c>
      <c r="G155" t="inlineStr">
        <is>
          <t>SKÖVDE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46252</v>
      </c>
      <c r="F156" t="inlineStr">
        <is>
          <t>VÄSTRA GÖTALANDS LÄN</t>
        </is>
      </c>
      <c r="G156" t="inlineStr">
        <is>
          <t>SKÖVDE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13669-2023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45006</v>
      </c>
      <c r="E157" s="1" t="n">
        <v>46252</v>
      </c>
      <c r="F157" t="inlineStr">
        <is>
          <t>VÄSTRA GÖTALANDS LÄN</t>
        </is>
      </c>
      <c r="G157" t="inlineStr">
        <is>
          <t>SKÖVDE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46252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20912-2024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45439</v>
      </c>
      <c r="E159" s="1" t="n">
        <v>46252</v>
      </c>
      <c r="F159" t="inlineStr">
        <is>
          <t>VÄSTRA GÖTALANDS LÄN</t>
        </is>
      </c>
      <c r="G159" t="inlineStr">
        <is>
          <t>SKÖVDE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67134-2021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44523</v>
      </c>
      <c r="E160" s="1" t="n">
        <v>46252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46252</v>
      </c>
      <c r="F161" t="inlineStr">
        <is>
          <t>VÄSTRA GÖTALANDS LÄN</t>
        </is>
      </c>
      <c r="G161" t="inlineStr">
        <is>
          <t>SKÖVDE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45385</v>
      </c>
      <c r="E162" s="1" t="n">
        <v>46252</v>
      </c>
      <c r="F162" t="inlineStr">
        <is>
          <t>VÄSTRA GÖTALANDS LÄN</t>
        </is>
      </c>
      <c r="G162" t="inlineStr">
        <is>
          <t>SKÖVDE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46252</v>
      </c>
      <c r="F163" t="inlineStr">
        <is>
          <t>VÄSTRA GÖTALANDS LÄN</t>
        </is>
      </c>
      <c r="G163" t="inlineStr">
        <is>
          <t>SKÖVDE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46252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46252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45742</v>
      </c>
      <c r="E166" s="1" t="n">
        <v>46252</v>
      </c>
      <c r="F166" t="inlineStr">
        <is>
          <t>VÄSTRA GÖTALANDS LÄN</t>
        </is>
      </c>
      <c r="G166" t="inlineStr">
        <is>
          <t>SKÖVDE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46252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Kyrkan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44750</v>
      </c>
      <c r="E168" s="1" t="n">
        <v>46252</v>
      </c>
      <c r="F168" t="inlineStr">
        <is>
          <t>VÄSTRA GÖTALANDS LÄN</t>
        </is>
      </c>
      <c r="G168" t="inlineStr">
        <is>
          <t>SKÖVDE</t>
        </is>
      </c>
      <c r="H168" t="inlineStr">
        <is>
          <t>Kommuner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46001</v>
      </c>
      <c r="E169" s="1" t="n">
        <v>46252</v>
      </c>
      <c r="F169" t="inlineStr">
        <is>
          <t>VÄSTRA GÖTALANDS LÄN</t>
        </is>
      </c>
      <c r="G169" t="inlineStr">
        <is>
          <t>SKÖVDE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46252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46252</v>
      </c>
      <c r="F171" t="inlineStr">
        <is>
          <t>VÄSTRA GÖTALANDS LÄN</t>
        </is>
      </c>
      <c r="G171" t="inlineStr">
        <is>
          <t>SKÖVDE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44636</v>
      </c>
      <c r="E172" s="1" t="n">
        <v>46252</v>
      </c>
      <c r="F172" t="inlineStr">
        <is>
          <t>VÄSTRA GÖTALANDS LÄN</t>
        </is>
      </c>
      <c r="G172" t="inlineStr">
        <is>
          <t>SKÖVDE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51886-2021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46252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46252</v>
      </c>
      <c r="F174" t="inlineStr">
        <is>
          <t>VÄSTRA GÖTALANDS LÄN</t>
        </is>
      </c>
      <c r="G174" t="inlineStr">
        <is>
          <t>SKÖVDE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46252</v>
      </c>
      <c r="F175" t="inlineStr">
        <is>
          <t>VÄSTRA GÖTALANDS LÄN</t>
        </is>
      </c>
      <c r="G175" t="inlineStr">
        <is>
          <t>SKÖVDE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46252</v>
      </c>
      <c r="F176" t="inlineStr">
        <is>
          <t>VÄSTRA GÖTALANDS LÄN</t>
        </is>
      </c>
      <c r="G176" t="inlineStr">
        <is>
          <t>SKÖVDE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62803-2025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46252</v>
      </c>
      <c r="F177" t="inlineStr">
        <is>
          <t>VÄSTRA GÖTALANDS LÄN</t>
        </is>
      </c>
      <c r="G177" t="inlineStr">
        <is>
          <t>SKÖVDE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46252</v>
      </c>
      <c r="F178" t="inlineStr">
        <is>
          <t>VÄSTRA GÖTALANDS LÄN</t>
        </is>
      </c>
      <c r="G178" t="inlineStr">
        <is>
          <t>SKÖVDE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62811-2025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46008</v>
      </c>
      <c r="E179" s="1" t="n">
        <v>46252</v>
      </c>
      <c r="F179" t="inlineStr">
        <is>
          <t>VÄSTRA GÖTALANDS LÄN</t>
        </is>
      </c>
      <c r="G179" t="inlineStr">
        <is>
          <t>SKÖVDE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45314</v>
      </c>
      <c r="E180" s="1" t="n">
        <v>46252</v>
      </c>
      <c r="F180" t="inlineStr">
        <is>
          <t>VÄSTRA GÖTALANDS LÄN</t>
        </is>
      </c>
      <c r="G180" t="inlineStr">
        <is>
          <t>SKÖVDE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46252</v>
      </c>
      <c r="F181" t="inlineStr">
        <is>
          <t>VÄSTRA GÖTALANDS LÄN</t>
        </is>
      </c>
      <c r="G181" t="inlineStr">
        <is>
          <t>SKÖVDE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45259</v>
      </c>
      <c r="E182" s="1" t="n">
        <v>46252</v>
      </c>
      <c r="F182" t="inlineStr">
        <is>
          <t>VÄSTRA GÖTALANDS LÄN</t>
        </is>
      </c>
      <c r="G182" t="inlineStr">
        <is>
          <t>SKÖVDE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46017</v>
      </c>
      <c r="E183" s="1" t="n">
        <v>46252</v>
      </c>
      <c r="F183" t="inlineStr">
        <is>
          <t>VÄSTRA GÖTALANDS LÄN</t>
        </is>
      </c>
      <c r="G183" t="inlineStr">
        <is>
          <t>SKÖVDE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60588-2023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45259</v>
      </c>
      <c r="E184" s="1" t="n">
        <v>46252</v>
      </c>
      <c r="F184" t="inlineStr">
        <is>
          <t>VÄSTRA GÖTALANDS LÄN</t>
        </is>
      </c>
      <c r="G184" t="inlineStr">
        <is>
          <t>SKÖVDE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48983-2024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46252</v>
      </c>
      <c r="F185" t="inlineStr">
        <is>
          <t>VÄSTRA GÖTALANDS LÄN</t>
        </is>
      </c>
      <c r="G185" t="inlineStr">
        <is>
          <t>SKÖVDE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62290-2023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46252</v>
      </c>
      <c r="F186" t="inlineStr">
        <is>
          <t>VÄSTRA GÖTALANDS LÄN</t>
        </is>
      </c>
      <c r="G186" t="inlineStr">
        <is>
          <t>SKÖVDE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44938</v>
      </c>
      <c r="E187" s="1" t="n">
        <v>46252</v>
      </c>
      <c r="F187" t="inlineStr">
        <is>
          <t>VÄSTRA GÖTALANDS LÄN</t>
        </is>
      </c>
      <c r="G187" t="inlineStr">
        <is>
          <t>SKÖVDE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45670</v>
      </c>
      <c r="E188" s="1" t="n">
        <v>46252</v>
      </c>
      <c r="F188" t="inlineStr">
        <is>
          <t>VÄSTRA GÖTALANDS LÄN</t>
        </is>
      </c>
      <c r="G188" t="inlineStr">
        <is>
          <t>SKÖVDE</t>
        </is>
      </c>
      <c r="I188" t="n">
        <v>11.8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46252</v>
      </c>
      <c r="F189" t="inlineStr">
        <is>
          <t>VÄSTRA GÖTALANDS LÄN</t>
        </is>
      </c>
      <c r="G189" t="inlineStr">
        <is>
          <t>SKÖVDE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46252</v>
      </c>
      <c r="F190" t="inlineStr">
        <is>
          <t>VÄSTRA GÖTALANDS LÄN</t>
        </is>
      </c>
      <c r="G190" t="inlineStr">
        <is>
          <t>SKÖVDE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45301</v>
      </c>
      <c r="E191" s="1" t="n">
        <v>46252</v>
      </c>
      <c r="F191" t="inlineStr">
        <is>
          <t>VÄSTRA GÖTALANDS LÄN</t>
        </is>
      </c>
      <c r="G191" t="inlineStr">
        <is>
          <t>SKÖVDE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46051</v>
      </c>
      <c r="E192" s="1" t="n">
        <v>46252</v>
      </c>
      <c r="F192" t="inlineStr">
        <is>
          <t>VÄSTRA GÖTALANDS LÄN</t>
        </is>
      </c>
      <c r="G192" t="inlineStr">
        <is>
          <t>SKÖVDE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45299</v>
      </c>
      <c r="E193" s="1" t="n">
        <v>46252</v>
      </c>
      <c r="F193" t="inlineStr">
        <is>
          <t>VÄSTRA GÖTALANDS LÄN</t>
        </is>
      </c>
      <c r="G193" t="inlineStr">
        <is>
          <t>SKÖVDE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45204</v>
      </c>
      <c r="E194" s="1" t="n">
        <v>46252</v>
      </c>
      <c r="F194" t="inlineStr">
        <is>
          <t>VÄSTRA GÖTALANDS LÄN</t>
        </is>
      </c>
      <c r="G194" t="inlineStr">
        <is>
          <t>SKÖVDE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6092-2026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46052</v>
      </c>
      <c r="E195" s="1" t="n">
        <v>46252</v>
      </c>
      <c r="F195" t="inlineStr">
        <is>
          <t>VÄSTRA GÖTALANDS LÄN</t>
        </is>
      </c>
      <c r="G195" t="inlineStr">
        <is>
          <t>SKÖVDE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46182</v>
      </c>
      <c r="E196" s="1" t="n">
        <v>46252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46252</v>
      </c>
      <c r="F197" t="inlineStr">
        <is>
          <t>VÄSTRA GÖTALANDS LÄN</t>
        </is>
      </c>
      <c r="G197" t="inlineStr">
        <is>
          <t>SKÖVDE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45169</v>
      </c>
      <c r="E198" s="1" t="n">
        <v>46252</v>
      </c>
      <c r="F198" t="inlineStr">
        <is>
          <t>VÄSTRA GÖTALANDS LÄN</t>
        </is>
      </c>
      <c r="G198" t="inlineStr">
        <is>
          <t>SKÖVDE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46252</v>
      </c>
      <c r="F199" t="inlineStr">
        <is>
          <t>VÄSTRA GÖTALANDS LÄN</t>
        </is>
      </c>
      <c r="G199" t="inlineStr">
        <is>
          <t>SKÖVDE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46010</v>
      </c>
      <c r="E200" s="1" t="n">
        <v>46252</v>
      </c>
      <c r="F200" t="inlineStr">
        <is>
          <t>VÄSTRA GÖTALANDS LÄN</t>
        </is>
      </c>
      <c r="G200" t="inlineStr">
        <is>
          <t>SKÖVDE</t>
        </is>
      </c>
      <c r="H200" t="inlineStr">
        <is>
          <t>Övriga statliga verk och myndigheter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46252</v>
      </c>
      <c r="F201" t="inlineStr">
        <is>
          <t>VÄSTRA GÖTALANDS LÄN</t>
        </is>
      </c>
      <c r="G201" t="inlineStr">
        <is>
          <t>SKÖVDE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63729-2025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46252</v>
      </c>
      <c r="F202" t="inlineStr">
        <is>
          <t>VÄSTRA GÖTALANDS LÄN</t>
        </is>
      </c>
      <c r="G202" t="inlineStr">
        <is>
          <t>SKÖVDE</t>
        </is>
      </c>
      <c r="H202" t="inlineStr">
        <is>
          <t>Övriga statliga verk och myndigheter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26914-2026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46185</v>
      </c>
      <c r="E203" s="1" t="n">
        <v>46252</v>
      </c>
      <c r="F203" t="inlineStr">
        <is>
          <t>VÄSTRA GÖTALANDS LÄN</t>
        </is>
      </c>
      <c r="G203" t="inlineStr">
        <is>
          <t>SKÖVDE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46009</v>
      </c>
      <c r="E204" s="1" t="n">
        <v>46252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Övriga statliga verk och myndigheter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46252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Övriga statliga verk och myndigheter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46252</v>
      </c>
      <c r="F206" t="inlineStr">
        <is>
          <t>VÄSTRA GÖTALANDS LÄN</t>
        </is>
      </c>
      <c r="G206" t="inlineStr">
        <is>
          <t>SKÖVDE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46252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48225-2024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45590</v>
      </c>
      <c r="E208" s="1" t="n">
        <v>46252</v>
      </c>
      <c r="F208" t="inlineStr">
        <is>
          <t>VÄSTRA GÖTALANDS LÄN</t>
        </is>
      </c>
      <c r="G208" t="inlineStr">
        <is>
          <t>SKÖVDE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46252</v>
      </c>
      <c r="F209" t="inlineStr">
        <is>
          <t>VÄSTRA GÖTALANDS LÄN</t>
        </is>
      </c>
      <c r="G209" t="inlineStr">
        <is>
          <t>SKÖVDE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45082</v>
      </c>
      <c r="E210" s="1" t="n">
        <v>46252</v>
      </c>
      <c r="F210" t="inlineStr">
        <is>
          <t>VÄSTRA GÖTALANDS LÄN</t>
        </is>
      </c>
      <c r="G210" t="inlineStr">
        <is>
          <t>SKÖVDE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45687</v>
      </c>
      <c r="E211" s="1" t="n">
        <v>46252</v>
      </c>
      <c r="F211" t="inlineStr">
        <is>
          <t>VÄSTRA GÖTALANDS LÄN</t>
        </is>
      </c>
      <c r="G211" t="inlineStr">
        <is>
          <t>SKÖVDE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46252</v>
      </c>
      <c r="F212" t="inlineStr">
        <is>
          <t>VÄSTRA GÖTALANDS LÄN</t>
        </is>
      </c>
      <c r="G212" t="inlineStr">
        <is>
          <t>SKÖVDE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12719-2026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46091</v>
      </c>
      <c r="E213" s="1" t="n">
        <v>46252</v>
      </c>
      <c r="F213" t="inlineStr">
        <is>
          <t>VÄSTRA GÖTALANDS LÄN</t>
        </is>
      </c>
      <c r="G213" t="inlineStr">
        <is>
          <t>SKÖVDE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45134</v>
      </c>
      <c r="E214" s="1" t="n">
        <v>46252</v>
      </c>
      <c r="F214" t="inlineStr">
        <is>
          <t>VÄSTRA GÖTALANDS LÄN</t>
        </is>
      </c>
      <c r="G214" t="inlineStr">
        <is>
          <t>SKÖVDE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46252</v>
      </c>
      <c r="F215" t="inlineStr">
        <is>
          <t>VÄSTRA GÖTALANDS LÄN</t>
        </is>
      </c>
      <c r="G215" t="inlineStr">
        <is>
          <t>SKÖVDE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45590</v>
      </c>
      <c r="E216" s="1" t="n">
        <v>46252</v>
      </c>
      <c r="F216" t="inlineStr">
        <is>
          <t>VÄSTRA GÖTALANDS LÄN</t>
        </is>
      </c>
      <c r="G216" t="inlineStr">
        <is>
          <t>SKÖVDE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17798-2024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45418</v>
      </c>
      <c r="E217" s="1" t="n">
        <v>46252</v>
      </c>
      <c r="F217" t="inlineStr">
        <is>
          <t>VÄSTRA GÖTALANDS LÄN</t>
        </is>
      </c>
      <c r="G217" t="inlineStr">
        <is>
          <t>SKÖVDE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45301</v>
      </c>
      <c r="E218" s="1" t="n">
        <v>46252</v>
      </c>
      <c r="F218" t="inlineStr">
        <is>
          <t>VÄSTRA GÖTALANDS LÄN</t>
        </is>
      </c>
      <c r="G218" t="inlineStr">
        <is>
          <t>SKÖVDE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46252</v>
      </c>
      <c r="F219" t="inlineStr">
        <is>
          <t>VÄSTRA GÖTALANDS LÄN</t>
        </is>
      </c>
      <c r="G219" t="inlineStr">
        <is>
          <t>SKÖVDE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46252</v>
      </c>
      <c r="F220" t="inlineStr">
        <is>
          <t>VÄSTRA GÖTALANDS LÄN</t>
        </is>
      </c>
      <c r="G220" t="inlineStr">
        <is>
          <t>SKÖVDE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46252</v>
      </c>
      <c r="F221" t="inlineStr">
        <is>
          <t>VÄSTRA GÖTALANDS LÄN</t>
        </is>
      </c>
      <c r="G221" t="inlineStr">
        <is>
          <t>SKÖVDE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45894</v>
      </c>
      <c r="E222" s="1" t="n">
        <v>46252</v>
      </c>
      <c r="F222" t="inlineStr">
        <is>
          <t>VÄSTRA GÖTALANDS LÄN</t>
        </is>
      </c>
      <c r="G222" t="inlineStr">
        <is>
          <t>SKÖVDE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46252</v>
      </c>
      <c r="F223" t="inlineStr">
        <is>
          <t>VÄSTRA GÖTALANDS LÄN</t>
        </is>
      </c>
      <c r="G223" t="inlineStr">
        <is>
          <t>SKÖVDE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46252</v>
      </c>
      <c r="F224" t="inlineStr">
        <is>
          <t>VÄSTRA GÖTALANDS LÄN</t>
        </is>
      </c>
      <c r="G224" t="inlineStr">
        <is>
          <t>SKÖVDE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46252</v>
      </c>
      <c r="F225" t="inlineStr">
        <is>
          <t>VÄSTRA GÖTALANDS LÄN</t>
        </is>
      </c>
      <c r="G225" t="inlineStr">
        <is>
          <t>SKÖVDE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46252</v>
      </c>
      <c r="F226" t="inlineStr">
        <is>
          <t>VÄSTRA GÖTALANDS LÄN</t>
        </is>
      </c>
      <c r="G226" t="inlineStr">
        <is>
          <t>SKÖVDE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46252</v>
      </c>
      <c r="F227" t="inlineStr">
        <is>
          <t>VÄSTRA GÖTALANDS LÄN</t>
        </is>
      </c>
      <c r="G227" t="inlineStr">
        <is>
          <t>SKÖVDE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46252</v>
      </c>
      <c r="F228" t="inlineStr">
        <is>
          <t>VÄSTRA GÖTALANDS LÄN</t>
        </is>
      </c>
      <c r="G228" t="inlineStr">
        <is>
          <t>SKÖVDE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46252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46252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46252</v>
      </c>
      <c r="F231" t="inlineStr">
        <is>
          <t>VÄSTRA GÖTALANDS LÄN</t>
        </is>
      </c>
      <c r="G231" t="inlineStr">
        <is>
          <t>SKÖVDE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45376</v>
      </c>
      <c r="E232" s="1" t="n">
        <v>46252</v>
      </c>
      <c r="F232" t="inlineStr">
        <is>
          <t>VÄSTRA GÖTALANDS LÄN</t>
        </is>
      </c>
      <c r="G232" t="inlineStr">
        <is>
          <t>SKÖVDE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44804</v>
      </c>
      <c r="E233" s="1" t="n">
        <v>46252</v>
      </c>
      <c r="F233" t="inlineStr">
        <is>
          <t>VÄSTRA GÖTALANDS LÄN</t>
        </is>
      </c>
      <c r="G233" t="inlineStr">
        <is>
          <t>SKÖVDE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46252</v>
      </c>
      <c r="F234" t="inlineStr">
        <is>
          <t>VÄSTRA GÖTALANDS LÄN</t>
        </is>
      </c>
      <c r="G234" t="inlineStr">
        <is>
          <t>SKÖVDE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45306</v>
      </c>
      <c r="E235" s="1" t="n">
        <v>46252</v>
      </c>
      <c r="F235" t="inlineStr">
        <is>
          <t>VÄSTRA GÖTALANDS LÄN</t>
        </is>
      </c>
      <c r="G235" t="inlineStr">
        <is>
          <t>SKÖVDE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45721</v>
      </c>
      <c r="E236" s="1" t="n">
        <v>46252</v>
      </c>
      <c r="F236" t="inlineStr">
        <is>
          <t>VÄSTRA GÖTALANDS LÄN</t>
        </is>
      </c>
      <c r="G236" t="inlineStr">
        <is>
          <t>SKÖVDE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46252</v>
      </c>
      <c r="F237" t="inlineStr">
        <is>
          <t>VÄSTRA GÖTALANDS LÄN</t>
        </is>
      </c>
      <c r="G237" t="inlineStr">
        <is>
          <t>SKÖVDE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21687-2026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46149</v>
      </c>
      <c r="E238" s="1" t="n">
        <v>46252</v>
      </c>
      <c r="F238" t="inlineStr">
        <is>
          <t>VÄSTRA GÖTALANDS LÄN</t>
        </is>
      </c>
      <c r="G238" t="inlineStr">
        <is>
          <t>SKÖVDE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13901-2025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45737</v>
      </c>
      <c r="E239" s="1" t="n">
        <v>46252</v>
      </c>
      <c r="F239" t="inlineStr">
        <is>
          <t>VÄSTRA GÖTALANDS LÄN</t>
        </is>
      </c>
      <c r="G239" t="inlineStr">
        <is>
          <t>SKÖVDE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45547</v>
      </c>
      <c r="E240" s="1" t="n">
        <v>46252</v>
      </c>
      <c r="F240" t="inlineStr">
        <is>
          <t>VÄSTRA GÖTALANDS LÄN</t>
        </is>
      </c>
      <c r="G240" t="inlineStr">
        <is>
          <t>SKÖVDE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45775</v>
      </c>
      <c r="E241" s="1" t="n">
        <v>46252</v>
      </c>
      <c r="F241" t="inlineStr">
        <is>
          <t>VÄSTRA GÖTALANDS LÄN</t>
        </is>
      </c>
      <c r="G241" t="inlineStr">
        <is>
          <t>SKÖVDE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46252</v>
      </c>
      <c r="F242" t="inlineStr">
        <is>
          <t>VÄSTRA GÖTALANDS LÄN</t>
        </is>
      </c>
      <c r="G242" t="inlineStr">
        <is>
          <t>SKÖVDE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20190-2026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46252</v>
      </c>
      <c r="F243" t="inlineStr">
        <is>
          <t>VÄSTRA GÖTALANDS LÄN</t>
        </is>
      </c>
      <c r="G243" t="inlineStr">
        <is>
          <t>SKÖVDE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45267</v>
      </c>
      <c r="E244" s="1" t="n">
        <v>46252</v>
      </c>
      <c r="F244" t="inlineStr">
        <is>
          <t>VÄSTRA GÖTALANDS LÄN</t>
        </is>
      </c>
      <c r="G244" t="inlineStr">
        <is>
          <t>SKÖVDE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2901-2026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46038</v>
      </c>
      <c r="E245" s="1" t="n">
        <v>46252</v>
      </c>
      <c r="F245" t="inlineStr">
        <is>
          <t>VÄSTRA GÖTALANDS LÄN</t>
        </is>
      </c>
      <c r="G245" t="inlineStr">
        <is>
          <t>SKÖVDE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45743</v>
      </c>
      <c r="E246" s="1" t="n">
        <v>46252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45710</v>
      </c>
      <c r="E247" s="1" t="n">
        <v>46252</v>
      </c>
      <c r="F247" t="inlineStr">
        <is>
          <t>VÄSTRA GÖTALANDS LÄN</t>
        </is>
      </c>
      <c r="G247" t="inlineStr">
        <is>
          <t>SKÖVDE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23487-2025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45792</v>
      </c>
      <c r="E248" s="1" t="n">
        <v>46252</v>
      </c>
      <c r="F248" t="inlineStr">
        <is>
          <t>VÄSTRA GÖTALANDS LÄN</t>
        </is>
      </c>
      <c r="G248" t="inlineStr">
        <is>
          <t>SKÖVDE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5658-2024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45334</v>
      </c>
      <c r="E249" s="1" t="n">
        <v>46252</v>
      </c>
      <c r="F249" t="inlineStr">
        <is>
          <t>VÄSTRA GÖTALANDS LÄN</t>
        </is>
      </c>
      <c r="G249" t="inlineStr">
        <is>
          <t>SKÖVDE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45142</v>
      </c>
      <c r="E250" s="1" t="n">
        <v>46252</v>
      </c>
      <c r="F250" t="inlineStr">
        <is>
          <t>VÄSTRA GÖTALANDS LÄN</t>
        </is>
      </c>
      <c r="G250" t="inlineStr">
        <is>
          <t>SKÖVDE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45734</v>
      </c>
      <c r="E251" s="1" t="n">
        <v>46252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46252</v>
      </c>
      <c r="F252" t="inlineStr">
        <is>
          <t>VÄSTRA GÖTALANDS LÄN</t>
        </is>
      </c>
      <c r="G252" t="inlineStr">
        <is>
          <t>SKÖVDE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45799</v>
      </c>
      <c r="E253" s="1" t="n">
        <v>46252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45799</v>
      </c>
      <c r="E254" s="1" t="n">
        <v>46252</v>
      </c>
      <c r="F254" t="inlineStr">
        <is>
          <t>VÄSTRA GÖTALANDS LÄN</t>
        </is>
      </c>
      <c r="G254" t="inlineStr">
        <is>
          <t>SKÖVDE</t>
        </is>
      </c>
      <c r="H254" t="inlineStr">
        <is>
          <t>Kommuner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25642-2025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45803</v>
      </c>
      <c r="E255" s="1" t="n">
        <v>46252</v>
      </c>
      <c r="F255" t="inlineStr">
        <is>
          <t>VÄSTRA GÖTALANDS LÄN</t>
        </is>
      </c>
      <c r="G255" t="inlineStr">
        <is>
          <t>SKÖVDE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45800</v>
      </c>
      <c r="E256" s="1" t="n">
        <v>46252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25639-2025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45800</v>
      </c>
      <c r="E257" s="1" t="n">
        <v>46252</v>
      </c>
      <c r="F257" t="inlineStr">
        <is>
          <t>VÄSTRA GÖTALANDS LÄN</t>
        </is>
      </c>
      <c r="G257" t="inlineStr">
        <is>
          <t>SKÖVDE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46252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46252</v>
      </c>
      <c r="F259" t="inlineStr">
        <is>
          <t>VÄSTRA GÖTALANDS LÄN</t>
        </is>
      </c>
      <c r="G259" t="inlineStr">
        <is>
          <t>SKÖVDE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46252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46252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2026-08-18T01:45:48Z</dcterms:created>
  <dcterms:modified xmlns:dcterms="http://purl.org/dc/terms/" xmlns:xsi="http://www.w3.org/2001/XMLSchema-instance" xsi:type="dcterms:W3CDTF">2026-08-18T01:45:49Z</dcterms:modified>
</cp:coreProperties>
</file>