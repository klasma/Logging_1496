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45915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45915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45915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45915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45915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45915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45915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45915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45915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45915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45915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45915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45915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45915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45915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45915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45915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45915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45915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45915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45915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45915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45915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45915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45915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45915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45915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45915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45915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45915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45915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45915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45915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45915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45915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45915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45915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45915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45915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45915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45915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45915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45915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11885-2022</t>
        </is>
      </c>
      <c r="B56" s="1" t="n">
        <v>44635.4016087963</v>
      </c>
      <c r="C56" s="1" t="n">
        <v>45915</v>
      </c>
      <c r="D56" t="inlineStr">
        <is>
          <t>VÄSTRA GÖTALANDS LÄN</t>
        </is>
      </c>
      <c r="E56" t="inlineStr">
        <is>
          <t>SKÖVDE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45915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45915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45915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45915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45915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45915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45915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45915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48754-2020</t>
        </is>
      </c>
      <c r="B65" s="1" t="n">
        <v>44099</v>
      </c>
      <c r="C65" s="1" t="n">
        <v>45915</v>
      </c>
      <c r="D65" t="inlineStr">
        <is>
          <t>VÄSTRA GÖTALANDS LÄN</t>
        </is>
      </c>
      <c r="E65" t="inlineStr">
        <is>
          <t>SKÖVDE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45915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45915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45915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45915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45915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45915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45915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45915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37451-2022</t>
        </is>
      </c>
      <c r="B74" s="1" t="n">
        <v>44809</v>
      </c>
      <c r="C74" s="1" t="n">
        <v>45915</v>
      </c>
      <c r="D74" t="inlineStr">
        <is>
          <t>VÄSTRA GÖTALANDS LÄN</t>
        </is>
      </c>
      <c r="E74" t="inlineStr">
        <is>
          <t>SKÖVDE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53561-2020</t>
        </is>
      </c>
      <c r="B75" s="1" t="n">
        <v>44124</v>
      </c>
      <c r="C75" s="1" t="n">
        <v>45915</v>
      </c>
      <c r="D75" t="inlineStr">
        <is>
          <t>VÄSTRA GÖTALANDS LÄN</t>
        </is>
      </c>
      <c r="E75" t="inlineStr">
        <is>
          <t>SKÖVDE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45915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11917-2024</t>
        </is>
      </c>
      <c r="B77" s="1" t="n">
        <v>45376.60135416667</v>
      </c>
      <c r="C77" s="1" t="n">
        <v>45915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45915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45915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45915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62290-2023</t>
        </is>
      </c>
      <c r="B81" s="1" t="n">
        <v>45267.659375</v>
      </c>
      <c r="C81" s="1" t="n">
        <v>45915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16279-2021</t>
        </is>
      </c>
      <c r="B82" s="1" t="n">
        <v>44292.64375</v>
      </c>
      <c r="C82" s="1" t="n">
        <v>45915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34211-2023</t>
        </is>
      </c>
      <c r="B83" s="1" t="n">
        <v>45138</v>
      </c>
      <c r="C83" s="1" t="n">
        <v>45915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18345-2021</t>
        </is>
      </c>
      <c r="B84" s="1" t="n">
        <v>44305</v>
      </c>
      <c r="C84" s="1" t="n">
        <v>45915</v>
      </c>
      <c r="D84" t="inlineStr">
        <is>
          <t>VÄSTRA GÖTALANDS LÄN</t>
        </is>
      </c>
      <c r="E84" t="inlineStr">
        <is>
          <t>SKÖVDE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45915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45915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45915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5469-2025</t>
        </is>
      </c>
      <c r="B88" s="1" t="n">
        <v>45693.32758101852</v>
      </c>
      <c r="C88" s="1" t="n">
        <v>45915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5473-2025</t>
        </is>
      </c>
      <c r="B89" s="1" t="n">
        <v>45693.33016203704</v>
      </c>
      <c r="C89" s="1" t="n">
        <v>45915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565-2024</t>
        </is>
      </c>
      <c r="B90" s="1" t="n">
        <v>45299</v>
      </c>
      <c r="C90" s="1" t="n">
        <v>45915</v>
      </c>
      <c r="D90" t="inlineStr">
        <is>
          <t>VÄSTRA GÖTALANDS LÄN</t>
        </is>
      </c>
      <c r="E90" t="inlineStr">
        <is>
          <t>SKÖVDE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20599-2025</t>
        </is>
      </c>
      <c r="B91" s="1" t="n">
        <v>45775.7887962963</v>
      </c>
      <c r="C91" s="1" t="n">
        <v>45915</v>
      </c>
      <c r="D91" t="inlineStr">
        <is>
          <t>VÄSTRA GÖTALANDS LÄN</t>
        </is>
      </c>
      <c r="E91" t="inlineStr">
        <is>
          <t>SKÖVDE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45915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20602-2025</t>
        </is>
      </c>
      <c r="B93" s="1" t="n">
        <v>45775.79440972222</v>
      </c>
      <c r="C93" s="1" t="n">
        <v>45915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952-2024</t>
        </is>
      </c>
      <c r="B94" s="1" t="n">
        <v>45301</v>
      </c>
      <c r="C94" s="1" t="n">
        <v>45915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58342-2023</t>
        </is>
      </c>
      <c r="B95" s="1" t="n">
        <v>45245</v>
      </c>
      <c r="C95" s="1" t="n">
        <v>45915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2917-2024</t>
        </is>
      </c>
      <c r="B96" s="1" t="n">
        <v>45315.58524305555</v>
      </c>
      <c r="C96" s="1" t="n">
        <v>45915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51886-2021</t>
        </is>
      </c>
      <c r="B97" s="1" t="n">
        <v>44462.82854166667</v>
      </c>
      <c r="C97" s="1" t="n">
        <v>45915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3948-2024</t>
        </is>
      </c>
      <c r="B98" s="1" t="n">
        <v>45322</v>
      </c>
      <c r="C98" s="1" t="n">
        <v>45915</v>
      </c>
      <c r="D98" t="inlineStr">
        <is>
          <t>VÄSTRA GÖTALANDS LÄN</t>
        </is>
      </c>
      <c r="E98" t="inlineStr">
        <is>
          <t>SKÖVDE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13800-2024</t>
        </is>
      </c>
      <c r="B99" s="1" t="n">
        <v>45391</v>
      </c>
      <c r="C99" s="1" t="n">
        <v>45915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22021-2025</t>
        </is>
      </c>
      <c r="B100" s="1" t="n">
        <v>45784</v>
      </c>
      <c r="C100" s="1" t="n">
        <v>45915</v>
      </c>
      <c r="D100" t="inlineStr">
        <is>
          <t>VÄSTRA GÖTALANDS LÄN</t>
        </is>
      </c>
      <c r="E100" t="inlineStr">
        <is>
          <t>SKÖVDE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22022-2025</t>
        </is>
      </c>
      <c r="B101" s="1" t="n">
        <v>45784</v>
      </c>
      <c r="C101" s="1" t="n">
        <v>45915</v>
      </c>
      <c r="D101" t="inlineStr">
        <is>
          <t>VÄSTRA GÖTALANDS LÄN</t>
        </is>
      </c>
      <c r="E101" t="inlineStr">
        <is>
          <t>SKÖVDE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22023-2025</t>
        </is>
      </c>
      <c r="B102" s="1" t="n">
        <v>45784</v>
      </c>
      <c r="C102" s="1" t="n">
        <v>45915</v>
      </c>
      <c r="D102" t="inlineStr">
        <is>
          <t>VÄSTRA GÖTALANDS LÄN</t>
        </is>
      </c>
      <c r="E102" t="inlineStr">
        <is>
          <t>SKÖVDE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45915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5308-2023</t>
        </is>
      </c>
      <c r="B104" s="1" t="n">
        <v>44959.55680555556</v>
      </c>
      <c r="C104" s="1" t="n">
        <v>45915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17798-2024</t>
        </is>
      </c>
      <c r="B105" s="1" t="n">
        <v>45418</v>
      </c>
      <c r="C105" s="1" t="n">
        <v>45915</v>
      </c>
      <c r="D105" t="inlineStr">
        <is>
          <t>VÄSTRA GÖTALANDS LÄN</t>
        </is>
      </c>
      <c r="E105" t="inlineStr">
        <is>
          <t>SKÖVDE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45915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3951-2024</t>
        </is>
      </c>
      <c r="B107" s="1" t="n">
        <v>45322</v>
      </c>
      <c r="C107" s="1" t="n">
        <v>45915</v>
      </c>
      <c r="D107" t="inlineStr">
        <is>
          <t>VÄSTRA GÖTALANDS LÄN</t>
        </is>
      </c>
      <c r="E107" t="inlineStr">
        <is>
          <t>SKÖVDE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5465-2025</t>
        </is>
      </c>
      <c r="B108" s="1" t="n">
        <v>45693.32520833334</v>
      </c>
      <c r="C108" s="1" t="n">
        <v>45915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5466-2025</t>
        </is>
      </c>
      <c r="B109" s="1" t="n">
        <v>45693.32571759259</v>
      </c>
      <c r="C109" s="1" t="n">
        <v>45915</v>
      </c>
      <c r="D109" t="inlineStr">
        <is>
          <t>VÄSTRA GÖTALANDS LÄN</t>
        </is>
      </c>
      <c r="E109" t="inlineStr">
        <is>
          <t>SKÖVDE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5467-2025</t>
        </is>
      </c>
      <c r="B110" s="1" t="n">
        <v>45693.32645833334</v>
      </c>
      <c r="C110" s="1" t="n">
        <v>45915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5471-2025</t>
        </is>
      </c>
      <c r="B111" s="1" t="n">
        <v>45693.32864583333</v>
      </c>
      <c r="C111" s="1" t="n">
        <v>45915</v>
      </c>
      <c r="D111" t="inlineStr">
        <is>
          <t>VÄSTRA GÖTALANDS LÄN</t>
        </is>
      </c>
      <c r="E111" t="inlineStr">
        <is>
          <t>SKÖVDE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1636-2024</t>
        </is>
      </c>
      <c r="B112" s="1" t="n">
        <v>45306</v>
      </c>
      <c r="C112" s="1" t="n">
        <v>45915</v>
      </c>
      <c r="D112" t="inlineStr">
        <is>
          <t>VÄSTRA GÖTALANDS LÄN</t>
        </is>
      </c>
      <c r="E112" t="inlineStr">
        <is>
          <t>SKÖVDE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18660-2021</t>
        </is>
      </c>
      <c r="B113" s="1" t="n">
        <v>44306</v>
      </c>
      <c r="C113" s="1" t="n">
        <v>45915</v>
      </c>
      <c r="D113" t="inlineStr">
        <is>
          <t>VÄSTRA GÖTALANDS LÄN</t>
        </is>
      </c>
      <c r="E113" t="inlineStr">
        <is>
          <t>SKÖVDE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2708-2024</t>
        </is>
      </c>
      <c r="B114" s="1" t="n">
        <v>45314</v>
      </c>
      <c r="C114" s="1" t="n">
        <v>45915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1641-2024</t>
        </is>
      </c>
      <c r="B115" s="1" t="n">
        <v>45306.66873842593</v>
      </c>
      <c r="C115" s="1" t="n">
        <v>45915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17440-2021</t>
        </is>
      </c>
      <c r="B116" s="1" t="n">
        <v>44299</v>
      </c>
      <c r="C116" s="1" t="n">
        <v>45915</v>
      </c>
      <c r="D116" t="inlineStr">
        <is>
          <t>VÄSTRA GÖTALANDS LÄN</t>
        </is>
      </c>
      <c r="E116" t="inlineStr">
        <is>
          <t>SKÖVDE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37656-2023</t>
        </is>
      </c>
      <c r="B117" s="1" t="n">
        <v>45159.51996527778</v>
      </c>
      <c r="C117" s="1" t="n">
        <v>45915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45915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8606-2025</t>
        </is>
      </c>
      <c r="B119" s="1" t="n">
        <v>45710.38600694444</v>
      </c>
      <c r="C119" s="1" t="n">
        <v>45915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14969-2025</t>
        </is>
      </c>
      <c r="B120" s="1" t="n">
        <v>45743.5912962963</v>
      </c>
      <c r="C120" s="1" t="n">
        <v>45915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14964-2025</t>
        </is>
      </c>
      <c r="B121" s="1" t="n">
        <v>45743.58701388889</v>
      </c>
      <c r="C121" s="1" t="n">
        <v>45915</v>
      </c>
      <c r="D121" t="inlineStr">
        <is>
          <t>VÄSTRA GÖTALANDS LÄN</t>
        </is>
      </c>
      <c r="E121" t="inlineStr">
        <is>
          <t>SKÖVDE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23544-2025</t>
        </is>
      </c>
      <c r="B122" s="1" t="n">
        <v>45792.56561342593</v>
      </c>
      <c r="C122" s="1" t="n">
        <v>45915</v>
      </c>
      <c r="D122" t="inlineStr">
        <is>
          <t>VÄSTRA GÖTALANDS LÄN</t>
        </is>
      </c>
      <c r="E122" t="inlineStr">
        <is>
          <t>SKÖVDE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9640-2025</t>
        </is>
      </c>
      <c r="B123" s="1" t="n">
        <v>45715.83090277778</v>
      </c>
      <c r="C123" s="1" t="n">
        <v>45915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37204-2024</t>
        </is>
      </c>
      <c r="B124" s="1" t="n">
        <v>45539.67663194444</v>
      </c>
      <c r="C124" s="1" t="n">
        <v>45915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5656-2024</t>
        </is>
      </c>
      <c r="B125" s="1" t="n">
        <v>45334</v>
      </c>
      <c r="C125" s="1" t="n">
        <v>45915</v>
      </c>
      <c r="D125" t="inlineStr">
        <is>
          <t>VÄSTRA GÖTALANDS LÄN</t>
        </is>
      </c>
      <c r="E125" t="inlineStr">
        <is>
          <t>SKÖVDE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35069-2023</t>
        </is>
      </c>
      <c r="B126" s="1" t="n">
        <v>45142</v>
      </c>
      <c r="C126" s="1" t="n">
        <v>45915</v>
      </c>
      <c r="D126" t="inlineStr">
        <is>
          <t>VÄSTRA GÖTALANDS LÄN</t>
        </is>
      </c>
      <c r="E126" t="inlineStr">
        <is>
          <t>SKÖVDE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45915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12972-2025</t>
        </is>
      </c>
      <c r="B128" s="1" t="n">
        <v>45734.43846064815</v>
      </c>
      <c r="C128" s="1" t="n">
        <v>45915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35610-2024</t>
        </is>
      </c>
      <c r="B129" s="1" t="n">
        <v>45531</v>
      </c>
      <c r="C129" s="1" t="n">
        <v>45915</v>
      </c>
      <c r="D129" t="inlineStr">
        <is>
          <t>VÄSTRA GÖTALANDS LÄN</t>
        </is>
      </c>
      <c r="E129" t="inlineStr">
        <is>
          <t>SKÖVDE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45915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45915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45915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45915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45915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45915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45915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24996-2025</t>
        </is>
      </c>
      <c r="B137" s="1" t="n">
        <v>45799.61603009259</v>
      </c>
      <c r="C137" s="1" t="n">
        <v>45915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58138-2024</t>
        </is>
      </c>
      <c r="B138" s="1" t="n">
        <v>45631</v>
      </c>
      <c r="C138" s="1" t="n">
        <v>45915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24962-2025</t>
        </is>
      </c>
      <c r="B139" s="1" t="n">
        <v>45799.57716435185</v>
      </c>
      <c r="C139" s="1" t="n">
        <v>45915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25271-2025</t>
        </is>
      </c>
      <c r="B140" s="1" t="n">
        <v>45800.55153935185</v>
      </c>
      <c r="C140" s="1" t="n">
        <v>45915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25639-2025</t>
        </is>
      </c>
      <c r="B141" s="1" t="n">
        <v>45800</v>
      </c>
      <c r="C141" s="1" t="n">
        <v>45915</v>
      </c>
      <c r="D141" t="inlineStr">
        <is>
          <t>VÄSTRA GÖTALANDS LÄN</t>
        </is>
      </c>
      <c r="E141" t="inlineStr">
        <is>
          <t>SKÖVDE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25003-2025</t>
        </is>
      </c>
      <c r="B142" s="1" t="n">
        <v>45799.62331018518</v>
      </c>
      <c r="C142" s="1" t="n">
        <v>45915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25093-2025</t>
        </is>
      </c>
      <c r="B143" s="1" t="n">
        <v>45800.33357638889</v>
      </c>
      <c r="C143" s="1" t="n">
        <v>45915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45915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10560-2025</t>
        </is>
      </c>
      <c r="B145" s="1" t="n">
        <v>45721.5255787037</v>
      </c>
      <c r="C145" s="1" t="n">
        <v>45915</v>
      </c>
      <c r="D145" t="inlineStr">
        <is>
          <t>VÄSTRA GÖTALANDS LÄN</t>
        </is>
      </c>
      <c r="E145" t="inlineStr">
        <is>
          <t>SKÖVDE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27109-2024</t>
        </is>
      </c>
      <c r="B146" s="1" t="n">
        <v>45471.49974537037</v>
      </c>
      <c r="C146" s="1" t="n">
        <v>45915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25794-2025</t>
        </is>
      </c>
      <c r="B147" s="1" t="n">
        <v>45804.39341435185</v>
      </c>
      <c r="C147" s="1" t="n">
        <v>45915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45915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48575-2024</t>
        </is>
      </c>
      <c r="B149" s="1" t="n">
        <v>45593.41140046297</v>
      </c>
      <c r="C149" s="1" t="n">
        <v>45915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45915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53740-2023</t>
        </is>
      </c>
      <c r="B151" s="1" t="n">
        <v>45230</v>
      </c>
      <c r="C151" s="1" t="n">
        <v>45915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47466-2024</t>
        </is>
      </c>
      <c r="B152" s="1" t="n">
        <v>45586</v>
      </c>
      <c r="C152" s="1" t="n">
        <v>45915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47490-2024</t>
        </is>
      </c>
      <c r="B153" s="1" t="n">
        <v>45586</v>
      </c>
      <c r="C153" s="1" t="n">
        <v>45915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1629-2025</t>
        </is>
      </c>
      <c r="B154" s="1" t="n">
        <v>45670.6265162037</v>
      </c>
      <c r="C154" s="1" t="n">
        <v>45915</v>
      </c>
      <c r="D154" t="inlineStr">
        <is>
          <t>VÄSTRA GÖTALANDS LÄN</t>
        </is>
      </c>
      <c r="E154" t="inlineStr">
        <is>
          <t>SKÖVDE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60342-2020</t>
        </is>
      </c>
      <c r="B155" s="1" t="n">
        <v>44152.69108796296</v>
      </c>
      <c r="C155" s="1" t="n">
        <v>45915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26618-2025</t>
        </is>
      </c>
      <c r="B156" s="1" t="n">
        <v>45810.30840277778</v>
      </c>
      <c r="C156" s="1" t="n">
        <v>45915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26712-2025</t>
        </is>
      </c>
      <c r="B157" s="1" t="n">
        <v>45810.46396990741</v>
      </c>
      <c r="C157" s="1" t="n">
        <v>45915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38903-2024</t>
        </is>
      </c>
      <c r="B158" s="1" t="n">
        <v>45547</v>
      </c>
      <c r="C158" s="1" t="n">
        <v>45915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45915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26620-2025</t>
        </is>
      </c>
      <c r="B160" s="1" t="n">
        <v>45810.31511574074</v>
      </c>
      <c r="C160" s="1" t="n">
        <v>45915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26614-2025</t>
        </is>
      </c>
      <c r="B161" s="1" t="n">
        <v>45810.30189814815</v>
      </c>
      <c r="C161" s="1" t="n">
        <v>45915</v>
      </c>
      <c r="D161" t="inlineStr">
        <is>
          <t>VÄSTRA GÖTALANDS LÄN</t>
        </is>
      </c>
      <c r="E161" t="inlineStr">
        <is>
          <t>SKÖVDE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1784-2023</t>
        </is>
      </c>
      <c r="B162" s="1" t="n">
        <v>44938.60303240741</v>
      </c>
      <c r="C162" s="1" t="n">
        <v>45915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15388-2024</t>
        </is>
      </c>
      <c r="B163" s="1" t="n">
        <v>45401.23033564815</v>
      </c>
      <c r="C163" s="1" t="n">
        <v>45915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38750-2023</t>
        </is>
      </c>
      <c r="B164" s="1" t="n">
        <v>45163.40059027778</v>
      </c>
      <c r="C164" s="1" t="n">
        <v>45915</v>
      </c>
      <c r="D164" t="inlineStr">
        <is>
          <t>VÄSTRA GÖTALANDS LÄN</t>
        </is>
      </c>
      <c r="E164" t="inlineStr">
        <is>
          <t>SKÖVDE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45915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45915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45915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45915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45915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45915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45915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45915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12942-2024</t>
        </is>
      </c>
      <c r="B173" s="1" t="n">
        <v>45385.46519675926</v>
      </c>
      <c r="C173" s="1" t="n">
        <v>45915</v>
      </c>
      <c r="D173" t="inlineStr">
        <is>
          <t>VÄSTRA GÖTALANDS LÄN</t>
        </is>
      </c>
      <c r="E173" t="inlineStr">
        <is>
          <t>SKÖVDE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45915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60339-2020</t>
        </is>
      </c>
      <c r="B175" s="1" t="n">
        <v>44152</v>
      </c>
      <c r="C175" s="1" t="n">
        <v>45915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20912-2024</t>
        </is>
      </c>
      <c r="B176" s="1" t="n">
        <v>45439.49229166667</v>
      </c>
      <c r="C176" s="1" t="n">
        <v>45915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52377-2023</t>
        </is>
      </c>
      <c r="B177" s="1" t="n">
        <v>45224</v>
      </c>
      <c r="C177" s="1" t="n">
        <v>45915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30150-2025</t>
        </is>
      </c>
      <c r="B178" s="1" t="n">
        <v>45827.31333333333</v>
      </c>
      <c r="C178" s="1" t="n">
        <v>45915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3996-2021</t>
        </is>
      </c>
      <c r="B179" s="1" t="n">
        <v>44221</v>
      </c>
      <c r="C179" s="1" t="n">
        <v>45915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47900-2023</t>
        </is>
      </c>
      <c r="B180" s="1" t="n">
        <v>45204</v>
      </c>
      <c r="C180" s="1" t="n">
        <v>45915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16621-2025</t>
        </is>
      </c>
      <c r="B181" s="1" t="n">
        <v>45754.32112268519</v>
      </c>
      <c r="C181" s="1" t="n">
        <v>45915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45915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45915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45915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15952-2025</t>
        </is>
      </c>
      <c r="B185" s="1" t="n">
        <v>45749.50174768519</v>
      </c>
      <c r="C185" s="1" t="n">
        <v>45915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41942-2021</t>
        </is>
      </c>
      <c r="B186" s="1" t="n">
        <v>44425</v>
      </c>
      <c r="C186" s="1" t="n">
        <v>45915</v>
      </c>
      <c r="D186" t="inlineStr">
        <is>
          <t>VÄSTRA GÖTALANDS LÄN</t>
        </is>
      </c>
      <c r="E186" t="inlineStr">
        <is>
          <t>SKÖVDE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45915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48225-2024</t>
        </is>
      </c>
      <c r="B188" s="1" t="n">
        <v>45590.36800925926</v>
      </c>
      <c r="C188" s="1" t="n">
        <v>45915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45915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19373-2025</t>
        </is>
      </c>
      <c r="B190" s="1" t="n">
        <v>45769.64327546296</v>
      </c>
      <c r="C190" s="1" t="n">
        <v>45915</v>
      </c>
      <c r="D190" t="inlineStr">
        <is>
          <t>VÄSTRA GÖTALANDS LÄN</t>
        </is>
      </c>
      <c r="E190" t="inlineStr">
        <is>
          <t>SKÖVDE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40712-2021</t>
        </is>
      </c>
      <c r="B191" s="1" t="n">
        <v>44420</v>
      </c>
      <c r="C191" s="1" t="n">
        <v>45915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9281-2025</t>
        </is>
      </c>
      <c r="B192" s="1" t="n">
        <v>45714</v>
      </c>
      <c r="C192" s="1" t="n">
        <v>45915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48983-2024</t>
        </is>
      </c>
      <c r="B193" s="1" t="n">
        <v>45594.46991898148</v>
      </c>
      <c r="C193" s="1" t="n">
        <v>45915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34528-2023</t>
        </is>
      </c>
      <c r="B194" s="1" t="n">
        <v>45134</v>
      </c>
      <c r="C194" s="1" t="n">
        <v>45915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5714-2025</t>
        </is>
      </c>
      <c r="B195" s="1" t="n">
        <v>45694.46822916667</v>
      </c>
      <c r="C195" s="1" t="n">
        <v>45915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40995-2022</t>
        </is>
      </c>
      <c r="B196" s="1" t="n">
        <v>44825.49869212963</v>
      </c>
      <c r="C196" s="1" t="n">
        <v>45915</v>
      </c>
      <c r="D196" t="inlineStr">
        <is>
          <t>VÄSTRA GÖTALANDS LÄN</t>
        </is>
      </c>
      <c r="E196" t="inlineStr">
        <is>
          <t>SKÖVDE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23447-2023</t>
        </is>
      </c>
      <c r="B197" s="1" t="n">
        <v>45076.59756944444</v>
      </c>
      <c r="C197" s="1" t="n">
        <v>45915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15404-2023</t>
        </is>
      </c>
      <c r="B198" s="1" t="n">
        <v>45019</v>
      </c>
      <c r="C198" s="1" t="n">
        <v>45915</v>
      </c>
      <c r="D198" t="inlineStr">
        <is>
          <t>VÄSTRA GÖTALANDS LÄN</t>
        </is>
      </c>
      <c r="E198" t="inlineStr">
        <is>
          <t>SKÖVDE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6419-2025</t>
        </is>
      </c>
      <c r="B199" s="1" t="n">
        <v>45699.47835648148</v>
      </c>
      <c r="C199" s="1" t="n">
        <v>45915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49416-2023</t>
        </is>
      </c>
      <c r="B200" s="1" t="n">
        <v>45211.44688657407</v>
      </c>
      <c r="C200" s="1" t="n">
        <v>45915</v>
      </c>
      <c r="D200" t="inlineStr">
        <is>
          <t>VÄSTRA GÖTALANDS LÄN</t>
        </is>
      </c>
      <c r="E200" t="inlineStr">
        <is>
          <t>SKÖVDE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13669-2023</t>
        </is>
      </c>
      <c r="B201" s="1" t="n">
        <v>45006</v>
      </c>
      <c r="C201" s="1" t="n">
        <v>45915</v>
      </c>
      <c r="D201" t="inlineStr">
        <is>
          <t>VÄSTRA GÖTALANDS LÄN</t>
        </is>
      </c>
      <c r="E201" t="inlineStr">
        <is>
          <t>SKÖVDE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32837-2025</t>
        </is>
      </c>
      <c r="B202" s="1" t="n">
        <v>45839.55925925926</v>
      </c>
      <c r="C202" s="1" t="n">
        <v>45915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33053-2025</t>
        </is>
      </c>
      <c r="B203" s="1" t="n">
        <v>45840.42666666667</v>
      </c>
      <c r="C203" s="1" t="n">
        <v>45915</v>
      </c>
      <c r="D203" t="inlineStr">
        <is>
          <t>VÄSTRA GÖTALANDS LÄN</t>
        </is>
      </c>
      <c r="E203" t="inlineStr">
        <is>
          <t>SKÖVDE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38264-2023</t>
        </is>
      </c>
      <c r="B204" s="1" t="n">
        <v>45161</v>
      </c>
      <c r="C204" s="1" t="n">
        <v>45915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3670-2022</t>
        </is>
      </c>
      <c r="B205" s="1" t="n">
        <v>44586</v>
      </c>
      <c r="C205" s="1" t="n">
        <v>45915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13178-2023</t>
        </is>
      </c>
      <c r="B206" s="1" t="n">
        <v>45002</v>
      </c>
      <c r="C206" s="1" t="n">
        <v>45915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61336-2024</t>
        </is>
      </c>
      <c r="B207" s="1" t="n">
        <v>45645</v>
      </c>
      <c r="C207" s="1" t="n">
        <v>45915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48336-2024</t>
        </is>
      </c>
      <c r="B208" s="1" t="n">
        <v>45590.54072916666</v>
      </c>
      <c r="C208" s="1" t="n">
        <v>45915</v>
      </c>
      <c r="D208" t="inlineStr">
        <is>
          <t>VÄSTRA GÖTALANDS LÄN</t>
        </is>
      </c>
      <c r="E208" t="inlineStr">
        <is>
          <t>SKÖVDE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950-2024</t>
        </is>
      </c>
      <c r="B209" s="1" t="n">
        <v>45301</v>
      </c>
      <c r="C209" s="1" t="n">
        <v>45915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34834-2022</t>
        </is>
      </c>
      <c r="B210" s="1" t="n">
        <v>44796</v>
      </c>
      <c r="C210" s="1" t="n">
        <v>45915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12162-2022</t>
        </is>
      </c>
      <c r="B211" s="1" t="n">
        <v>44636</v>
      </c>
      <c r="C211" s="1" t="n">
        <v>45915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45915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13422-2025</t>
        </is>
      </c>
      <c r="B213" s="1" t="n">
        <v>45736.32023148148</v>
      </c>
      <c r="C213" s="1" t="n">
        <v>45915</v>
      </c>
      <c r="D213" t="inlineStr">
        <is>
          <t>VÄSTRA GÖTALANDS LÄN</t>
        </is>
      </c>
      <c r="E213" t="inlineStr">
        <is>
          <t>SKÖVDE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38499-2025</t>
        </is>
      </c>
      <c r="B214" s="1" t="n">
        <v>45884.37276620371</v>
      </c>
      <c r="C214" s="1" t="n">
        <v>45915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5464-2025</t>
        </is>
      </c>
      <c r="B215" s="1" t="n">
        <v>45693.32357638889</v>
      </c>
      <c r="C215" s="1" t="n">
        <v>45915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45915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27577-2021</t>
        </is>
      </c>
      <c r="B217" s="1" t="n">
        <v>44353.76177083333</v>
      </c>
      <c r="C217" s="1" t="n">
        <v>45915</v>
      </c>
      <c r="D217" t="inlineStr">
        <is>
          <t>VÄSTRA GÖTALANDS LÄN</t>
        </is>
      </c>
      <c r="E217" t="inlineStr">
        <is>
          <t>SKÖVDE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40205-2022</t>
        </is>
      </c>
      <c r="B218" s="1" t="n">
        <v>44820</v>
      </c>
      <c r="C218" s="1" t="n">
        <v>45915</v>
      </c>
      <c r="D218" t="inlineStr">
        <is>
          <t>VÄSTRA GÖTALANDS LÄN</t>
        </is>
      </c>
      <c r="E218" t="inlineStr">
        <is>
          <t>SKÖVDE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48149-2023</t>
        </is>
      </c>
      <c r="B219" s="1" t="n">
        <v>45201</v>
      </c>
      <c r="C219" s="1" t="n">
        <v>45915</v>
      </c>
      <c r="D219" t="inlineStr">
        <is>
          <t>VÄSTRA GÖTALANDS LÄN</t>
        </is>
      </c>
      <c r="E219" t="inlineStr">
        <is>
          <t>SKÖVDE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4322-2025</t>
        </is>
      </c>
      <c r="B220" s="1" t="n">
        <v>45685.71135416667</v>
      </c>
      <c r="C220" s="1" t="n">
        <v>45915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HYPERLINK("https://klasma.github.io/Logging_1496/knärot/A 4322-2025 karta knärot.png", "A 4322-2025")</f>
        <v/>
      </c>
      <c r="V220">
        <f>HYPERLINK("https://klasma.github.io/Logging_1496/klagomål/A 4322-2025 FSC-klagomål.docx", "A 4322-2025")</f>
        <v/>
      </c>
      <c r="W220">
        <f>HYPERLINK("https://klasma.github.io/Logging_1496/klagomålsmail/A 4322-2025 FSC-klagomål mail.docx", "A 4322-2025")</f>
        <v/>
      </c>
      <c r="X220">
        <f>HYPERLINK("https://klasma.github.io/Logging_1496/tillsyn/A 4322-2025 tillsynsbegäran.docx", "A 4322-2025")</f>
        <v/>
      </c>
      <c r="Y220">
        <f>HYPERLINK("https://klasma.github.io/Logging_1496/tillsynsmail/A 4322-2025 tillsynsbegäran mail.docx", "A 4322-2025")</f>
        <v/>
      </c>
    </row>
    <row r="221" ht="15" customHeight="1">
      <c r="A221" t="inlineStr">
        <is>
          <t>A 69106-2020</t>
        </is>
      </c>
      <c r="B221" s="1" t="n">
        <v>44187</v>
      </c>
      <c r="C221" s="1" t="n">
        <v>45915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33861-2025</t>
        </is>
      </c>
      <c r="B222" s="1" t="n">
        <v>45842.52964120371</v>
      </c>
      <c r="C222" s="1" t="n">
        <v>45915</v>
      </c>
      <c r="D222" t="inlineStr">
        <is>
          <t>VÄSTRA GÖTALANDS LÄN</t>
        </is>
      </c>
      <c r="E222" t="inlineStr">
        <is>
          <t>SKÖVDE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17070-2025</t>
        </is>
      </c>
      <c r="B223" s="1" t="n">
        <v>45755.61774305555</v>
      </c>
      <c r="C223" s="1" t="n">
        <v>45915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26699-2022</t>
        </is>
      </c>
      <c r="B224" s="1" t="n">
        <v>44739.72042824074</v>
      </c>
      <c r="C224" s="1" t="n">
        <v>45915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16716-2025</t>
        </is>
      </c>
      <c r="B225" s="1" t="n">
        <v>45754.48701388889</v>
      </c>
      <c r="C225" s="1" t="n">
        <v>45915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13901-2025</t>
        </is>
      </c>
      <c r="B226" s="1" t="n">
        <v>45737</v>
      </c>
      <c r="C226" s="1" t="n">
        <v>45915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7869-2025</t>
        </is>
      </c>
      <c r="B227" s="1" t="n">
        <v>45706.69854166666</v>
      </c>
      <c r="C227" s="1" t="n">
        <v>45915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10559-2025</t>
        </is>
      </c>
      <c r="B228" s="1" t="n">
        <v>45721.52329861111</v>
      </c>
      <c r="C228" s="1" t="n">
        <v>45915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59053-2024</t>
        </is>
      </c>
      <c r="B229" s="1" t="n">
        <v>45636.80626157407</v>
      </c>
      <c r="C229" s="1" t="n">
        <v>45915</v>
      </c>
      <c r="D229" t="inlineStr">
        <is>
          <t>VÄSTRA GÖTALANDS LÄN</t>
        </is>
      </c>
      <c r="E229" t="inlineStr">
        <is>
          <t>SKÖVDE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34410-2025</t>
        </is>
      </c>
      <c r="B230" s="1" t="n">
        <v>45846.64479166667</v>
      </c>
      <c r="C230" s="1" t="n">
        <v>45915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34414-2025</t>
        </is>
      </c>
      <c r="B231" s="1" t="n">
        <v>45846</v>
      </c>
      <c r="C231" s="1" t="n">
        <v>45915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45915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21493-2021</t>
        </is>
      </c>
      <c r="B233" s="1" t="n">
        <v>44321.53975694445</v>
      </c>
      <c r="C233" s="1" t="n">
        <v>45915</v>
      </c>
      <c r="D233" t="inlineStr">
        <is>
          <t>VÄSTRA GÖTALANDS LÄN</t>
        </is>
      </c>
      <c r="E233" t="inlineStr">
        <is>
          <t>SKÖVDE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6598-2022</t>
        </is>
      </c>
      <c r="B234" s="1" t="n">
        <v>44601</v>
      </c>
      <c r="C234" s="1" t="n">
        <v>45915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34412-2025</t>
        </is>
      </c>
      <c r="B235" s="1" t="n">
        <v>45846.64696759259</v>
      </c>
      <c r="C235" s="1" t="n">
        <v>45915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40105-2021</t>
        </is>
      </c>
      <c r="B236" s="1" t="n">
        <v>44418</v>
      </c>
      <c r="C236" s="1" t="n">
        <v>45915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34416-2025</t>
        </is>
      </c>
      <c r="B237" s="1" t="n">
        <v>45846.6525462963</v>
      </c>
      <c r="C237" s="1" t="n">
        <v>45915</v>
      </c>
      <c r="D237" t="inlineStr">
        <is>
          <t>VÄSTRA GÖTALANDS LÄN</t>
        </is>
      </c>
      <c r="E237" t="inlineStr">
        <is>
          <t>SKÖVDE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39073-2025</t>
        </is>
      </c>
      <c r="B238" s="1" t="n">
        <v>45888</v>
      </c>
      <c r="C238" s="1" t="n">
        <v>45915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45915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6496-2021</t>
        </is>
      </c>
      <c r="B240" s="1" t="n">
        <v>44235</v>
      </c>
      <c r="C240" s="1" t="n">
        <v>45915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60558-2023</t>
        </is>
      </c>
      <c r="B241" s="1" t="n">
        <v>45259.86798611111</v>
      </c>
      <c r="C241" s="1" t="n">
        <v>45915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36556-2022</t>
        </is>
      </c>
      <c r="B242" s="1" t="n">
        <v>44804</v>
      </c>
      <c r="C242" s="1" t="n">
        <v>45915</v>
      </c>
      <c r="D242" t="inlineStr">
        <is>
          <t>VÄSTRA GÖTALANDS LÄN</t>
        </is>
      </c>
      <c r="E242" t="inlineStr">
        <is>
          <t>SKÖVDE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34592-2025</t>
        </is>
      </c>
      <c r="B243" s="1" t="n">
        <v>45847.63085648148</v>
      </c>
      <c r="C243" s="1" t="n">
        <v>45915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6224-2022</t>
        </is>
      </c>
      <c r="B244" s="1" t="n">
        <v>44600.39609953704</v>
      </c>
      <c r="C244" s="1" t="n">
        <v>45915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39238-2025</t>
        </is>
      </c>
      <c r="B245" s="1" t="n">
        <v>45889.33467592593</v>
      </c>
      <c r="C245" s="1" t="n">
        <v>45915</v>
      </c>
      <c r="D245" t="inlineStr">
        <is>
          <t>VÄSTRA GÖTALANDS LÄN</t>
        </is>
      </c>
      <c r="E245" t="inlineStr">
        <is>
          <t>SKÖVDE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39243-2025</t>
        </is>
      </c>
      <c r="B246" s="1" t="n">
        <v>45889.34508101852</v>
      </c>
      <c r="C246" s="1" t="n">
        <v>45915</v>
      </c>
      <c r="D246" t="inlineStr">
        <is>
          <t>VÄSTRA GÖTALANDS LÄN</t>
        </is>
      </c>
      <c r="E246" t="inlineStr">
        <is>
          <t>SKÖVDE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29011-2023</t>
        </is>
      </c>
      <c r="B247" s="1" t="n">
        <v>45104</v>
      </c>
      <c r="C247" s="1" t="n">
        <v>45915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45915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45915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17452-2023</t>
        </is>
      </c>
      <c r="B250" s="1" t="n">
        <v>45036</v>
      </c>
      <c r="C250" s="1" t="n">
        <v>45915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35199-2025</t>
        </is>
      </c>
      <c r="B251" s="1" t="n">
        <v>45853</v>
      </c>
      <c r="C251" s="1" t="n">
        <v>45915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34248-2023</t>
        </is>
      </c>
      <c r="B252" s="1" t="n">
        <v>45138.55064814815</v>
      </c>
      <c r="C252" s="1" t="n">
        <v>45915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16277-2021</t>
        </is>
      </c>
      <c r="B253" s="1" t="n">
        <v>44292.64259259259</v>
      </c>
      <c r="C253" s="1" t="n">
        <v>45915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640-2021</t>
        </is>
      </c>
      <c r="B254" s="1" t="n">
        <v>44201</v>
      </c>
      <c r="C254" s="1" t="n">
        <v>45915</v>
      </c>
      <c r="D254" t="inlineStr">
        <is>
          <t>VÄSTRA GÖTALANDS LÄN</t>
        </is>
      </c>
      <c r="E254" t="inlineStr">
        <is>
          <t>SKÖVDE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45915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62271-2023</t>
        </is>
      </c>
      <c r="B256" s="1" t="n">
        <v>45267.6362037037</v>
      </c>
      <c r="C256" s="1" t="n">
        <v>45915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14552-2023</t>
        </is>
      </c>
      <c r="B257" s="1" t="n">
        <v>45013.42783564814</v>
      </c>
      <c r="C257" s="1" t="n">
        <v>45915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42837-2025</t>
        </is>
      </c>
      <c r="B258" s="1" t="n">
        <v>45908.58097222223</v>
      </c>
      <c r="C258" s="1" t="n">
        <v>45915</v>
      </c>
      <c r="D258" t="inlineStr">
        <is>
          <t>VÄSTRA GÖTALANDS LÄN</t>
        </is>
      </c>
      <c r="E258" t="inlineStr">
        <is>
          <t>SKÖVDE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45915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45915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45915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45915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45915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45915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45915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45915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45915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45915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45915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45915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45915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45915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45915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35280-2024</t>
        </is>
      </c>
      <c r="B274" s="1" t="n">
        <v>45530.63609953703</v>
      </c>
      <c r="C274" s="1" t="n">
        <v>45915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45915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5474-2025</t>
        </is>
      </c>
      <c r="B276" s="1" t="n">
        <v>45693.33061342593</v>
      </c>
      <c r="C276" s="1" t="n">
        <v>45915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5478-2025</t>
        </is>
      </c>
      <c r="B277" s="1" t="n">
        <v>45693.33496527778</v>
      </c>
      <c r="C277" s="1" t="n">
        <v>45915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5479-2025</t>
        </is>
      </c>
      <c r="B278" s="1" t="n">
        <v>45693.33540509259</v>
      </c>
      <c r="C278" s="1" t="n">
        <v>45915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3481-2024</t>
        </is>
      </c>
      <c r="B279" s="1" t="n">
        <v>45320</v>
      </c>
      <c r="C279" s="1" t="n">
        <v>45915</v>
      </c>
      <c r="D279" t="inlineStr">
        <is>
          <t>VÄSTRA GÖTALANDS LÄN</t>
        </is>
      </c>
      <c r="E279" t="inlineStr">
        <is>
          <t>SKÖVDE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46401-2023</t>
        </is>
      </c>
      <c r="B280" s="1" t="n">
        <v>45197.49450231482</v>
      </c>
      <c r="C280" s="1" t="n">
        <v>45915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45915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45915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45915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45915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45915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45915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45915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8557-2025</t>
        </is>
      </c>
      <c r="B288" s="1" t="n">
        <v>45709</v>
      </c>
      <c r="C288" s="1" t="n">
        <v>45915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14624-2025</t>
        </is>
      </c>
      <c r="B289" s="1" t="n">
        <v>45742.41969907407</v>
      </c>
      <c r="C289" s="1" t="n">
        <v>45915</v>
      </c>
      <c r="D289" t="inlineStr">
        <is>
          <t>VÄSTRA GÖTALANDS LÄN</t>
        </is>
      </c>
      <c r="E289" t="inlineStr">
        <is>
          <t>SKÖVDE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26733-2023</t>
        </is>
      </c>
      <c r="B290" s="1" t="n">
        <v>45093.41903935185</v>
      </c>
      <c r="C290" s="1" t="n">
        <v>45915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2025-09-15T08:54:28Z</dcterms:created>
  <dcterms:modified xmlns:dcterms="http://purl.org/dc/terms/" xmlns:xsi="http://www.w3.org/2001/XMLSchema-instance" xsi:type="dcterms:W3CDTF">2025-09-15T08:54:28Z</dcterms:modified>
</cp:coreProperties>
</file>