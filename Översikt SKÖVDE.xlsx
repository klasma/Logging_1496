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46257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46257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46257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46257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46257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46257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46257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46257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46257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46257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46257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46257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46257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46257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46257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46257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46257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46257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46257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46257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46257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46257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27109-2024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46257</v>
      </c>
      <c r="F28" t="inlineStr">
        <is>
          <t>VÄSTRA GÖTALANDS LÄN</t>
        </is>
      </c>
      <c r="G28" t="inlineStr">
        <is>
          <t>SKÖVDE</t>
        </is>
      </c>
      <c r="I28" t="n">
        <v>2.7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Backstarr
Jungfrulin</t>
        </is>
      </c>
      <c r="W28">
        <f>HYPERLINK("https://klasma.github.io/Logging_1496/artfynd/A 27109-2024 artfynd.xlsx", "A 27109-2024")</f>
        <v/>
      </c>
      <c r="X28">
        <f>HYPERLINK("https://klasma.github.io/Logging_1496/kartor/A 27109-2024 karta.png", "A 27109-2024")</f>
        <v/>
      </c>
      <c r="Y28">
        <f>HYPERLINK("https://klasma.github.io/Logging_1496/kartor_geotiff/A 27109-2024 georefererad karta.tif", "A 27109-2024")</f>
        <v/>
      </c>
      <c r="AA28">
        <f>HYPERLINK("https://klasma.github.io/Logging_1496/klagomål/A 27109-2024 FSC-klagomål.docx", "A 27109-2024")</f>
        <v/>
      </c>
      <c r="AB28">
        <f>HYPERLINK("https://klasma.github.io/Logging_1496/klagomålsmail/A 27109-2024 FSC-klagomål mail.docx", "A 27109-2024")</f>
        <v/>
      </c>
      <c r="AC28">
        <f>HYPERLINK("https://klasma.github.io/Logging_1496/tillsyn/A 27109-2024 tillsynsbegäran.docx", "A 27109-2024")</f>
        <v/>
      </c>
      <c r="AD28">
        <f>HYPERLINK("https://klasma.github.io/Logging_1496/tillsynsmail/A 27109-2024 tillsynsbegäran mail.docx", "A 27109-2024")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46257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47429-2021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44447</v>
      </c>
      <c r="E30" s="1" t="n">
        <v>46257</v>
      </c>
      <c r="F30" t="inlineStr">
        <is>
          <t>VÄSTRA GÖTALANDS LÄN</t>
        </is>
      </c>
      <c r="G30" t="inlineStr">
        <is>
          <t>SKÖVDE</t>
        </is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Svart trolldruva
Tibast</t>
        </is>
      </c>
      <c r="W30">
        <f>HYPERLINK("https://klasma.github.io/Logging_1496/artfynd/A 47429-2021 artfynd.xlsx", "A 47429-2021")</f>
        <v/>
      </c>
      <c r="X30">
        <f>HYPERLINK("https://klasma.github.io/Logging_1496/kartor/A 47429-2021 karta.png", "A 47429-2021")</f>
        <v/>
      </c>
      <c r="Y30">
        <f>HYPERLINK("https://klasma.github.io/Logging_1496/kartor_geotiff/A 47429-2021 georefererad karta.tif", "A 47429-2021")</f>
        <v/>
      </c>
      <c r="AA30">
        <f>HYPERLINK("https://klasma.github.io/Logging_1496/klagomål/A 47429-2021 FSC-klagomål.docx", "A 47429-2021")</f>
        <v/>
      </c>
      <c r="AB30">
        <f>HYPERLINK("https://klasma.github.io/Logging_1496/klagomålsmail/A 47429-2021 FSC-klagomål mail.docx", "A 47429-2021")</f>
        <v/>
      </c>
      <c r="AC30">
        <f>HYPERLINK("https://klasma.github.io/Logging_1496/tillsyn/A 47429-2021 tillsynsbegäran.docx", "A 47429-2021")</f>
        <v/>
      </c>
      <c r="AD30">
        <f>HYPERLINK("https://klasma.github.io/Logging_1496/tillsynsmail/A 47429-2021 tillsynsbegäran mail.docx", "A 47429-2021")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46257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46257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46257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46257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46257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46257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60172-2021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44495</v>
      </c>
      <c r="E37" s="1" t="n">
        <v>46257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Skogsbräsma
Fläcknycklar</t>
        </is>
      </c>
      <c r="W37">
        <f>HYPERLINK("https://klasma.github.io/Logging_1496/artfynd/A 60172-2021 artfynd.xlsx", "A 60172-2021")</f>
        <v/>
      </c>
      <c r="X37">
        <f>HYPERLINK("https://klasma.github.io/Logging_1496/kartor/A 60172-2021 karta.png", "A 60172-2021")</f>
        <v/>
      </c>
      <c r="Y37">
        <f>HYPERLINK("https://klasma.github.io/Logging_1496/kartor_geotiff/A 60172-2021 georefererad karta.tif", "A 60172-2021")</f>
        <v/>
      </c>
      <c r="AA37">
        <f>HYPERLINK("https://klasma.github.io/Logging_1496/klagomål/A 60172-2021 FSC-klagomål.docx", "A 60172-2021")</f>
        <v/>
      </c>
      <c r="AB37">
        <f>HYPERLINK("https://klasma.github.io/Logging_1496/klagomålsmail/A 60172-2021 FSC-klagomål mail.docx", "A 60172-2021")</f>
        <v/>
      </c>
      <c r="AC37">
        <f>HYPERLINK("https://klasma.github.io/Logging_1496/tillsyn/A 60172-2021 tillsynsbegäran.docx", "A 60172-2021")</f>
        <v/>
      </c>
      <c r="AD37">
        <f>HYPERLINK("https://klasma.github.io/Logging_1496/tillsynsmail/A 60172-2021 tillsynsbegäran mail.docx", "A 60172-2021")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46257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24996-2025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46257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1.8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Granbronssopp
Fjällig taggsvamp s.str.</t>
        </is>
      </c>
      <c r="W39">
        <f>HYPERLINK("https://klasma.github.io/Logging_1496/artfynd/A 24996-2025 artfynd.xlsx", "A 24996-2025")</f>
        <v/>
      </c>
      <c r="X39">
        <f>HYPERLINK("https://klasma.github.io/Logging_1496/kartor/A 24996-2025 karta.png", "A 24996-2025")</f>
        <v/>
      </c>
      <c r="Y39">
        <f>HYPERLINK("https://klasma.github.io/Logging_1496/kartor_geotiff/A 24996-2025 georefererad karta.tif", "A 24996-2025")</f>
        <v/>
      </c>
      <c r="AA39">
        <f>HYPERLINK("https://klasma.github.io/Logging_1496/klagomål/A 24996-2025 FSC-klagomål.docx", "A 24996-2025")</f>
        <v/>
      </c>
      <c r="AB39">
        <f>HYPERLINK("https://klasma.github.io/Logging_1496/klagomålsmail/A 24996-2025 FSC-klagomål mail.docx", "A 24996-2025")</f>
        <v/>
      </c>
      <c r="AC39">
        <f>HYPERLINK("https://klasma.github.io/Logging_1496/tillsyn/A 24996-2025 tillsynsbegäran.docx", "A 24996-2025")</f>
        <v/>
      </c>
      <c r="AD39">
        <f>HYPERLINK("https://klasma.github.io/Logging_1496/tillsynsmail/A 24996-2025 tillsynsbegäran mail.docx", "A 24996-2025")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46257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46257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46257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46257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46257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46257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46257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46257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35919-2023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45148</v>
      </c>
      <c r="E48" s="1" t="n">
        <v>46257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Svinrot</t>
        </is>
      </c>
      <c r="W48">
        <f>HYPERLINK("https://klasma.github.io/Logging_1496/artfynd/A 35919-2023 artfynd.xlsx", "A 35919-2023")</f>
        <v/>
      </c>
      <c r="X48">
        <f>HYPERLINK("https://klasma.github.io/Logging_1496/kartor/A 35919-2023 karta.png", "A 35919-2023")</f>
        <v/>
      </c>
      <c r="Y48">
        <f>HYPERLINK("https://klasma.github.io/Logging_1496/kartor_geotiff/A 35919-2023 georefererad karta.tif", "A 35919-2023")</f>
        <v/>
      </c>
      <c r="AA48">
        <f>HYPERLINK("https://klasma.github.io/Logging_1496/klagomål/A 35919-2023 FSC-klagomål.docx", "A 35919-2023")</f>
        <v/>
      </c>
      <c r="AB48">
        <f>HYPERLINK("https://klasma.github.io/Logging_1496/klagomålsmail/A 35919-2023 FSC-klagomål mail.docx", "A 35919-2023")</f>
        <v/>
      </c>
      <c r="AC48">
        <f>HYPERLINK("https://klasma.github.io/Logging_1496/tillsyn/A 35919-2023 tillsynsbegäran.docx", "A 35919-2023")</f>
        <v/>
      </c>
      <c r="AD48">
        <f>HYPERLINK("https://klasma.github.io/Logging_1496/tillsynsmail/A 35919-2023 tillsynsbegäran mail.docx", "A 35919-2023")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46257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47898-2023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46257</v>
      </c>
      <c r="F50" t="inlineStr">
        <is>
          <t>VÄSTRA GÖTALANDS LÄN</t>
        </is>
      </c>
      <c r="G50" t="inlineStr">
        <is>
          <t>SKÖVDE</t>
        </is>
      </c>
      <c r="I50" t="n">
        <v>9.5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Karminticka</t>
        </is>
      </c>
      <c r="W50">
        <f>HYPERLINK("https://klasma.github.io/Logging_1496/artfynd/A 47898-2023 artfynd.xlsx", "A 47898-2023")</f>
        <v/>
      </c>
      <c r="X50">
        <f>HYPERLINK("https://klasma.github.io/Logging_1496/kartor/A 47898-2023 karta.png", "A 47898-2023")</f>
        <v/>
      </c>
      <c r="Y50">
        <f>HYPERLINK("https://klasma.github.io/Logging_1496/kartor_geotiff/A 47898-2023 georefererad karta.tif", "A 47898-2023")</f>
        <v/>
      </c>
      <c r="AA50">
        <f>HYPERLINK("https://klasma.github.io/Logging_1496/klagomål/A 47898-2023 FSC-klagomål.docx", "A 47898-2023")</f>
        <v/>
      </c>
      <c r="AB50">
        <f>HYPERLINK("https://klasma.github.io/Logging_1496/klagomålsmail/A 47898-2023 FSC-klagomål mail.docx", "A 47898-2023")</f>
        <v/>
      </c>
      <c r="AC50">
        <f>HYPERLINK("https://klasma.github.io/Logging_1496/tillsyn/A 47898-2023 tillsynsbegäran.docx", "A 47898-2023")</f>
        <v/>
      </c>
      <c r="AD50">
        <f>HYPERLINK("https://klasma.github.io/Logging_1496/tillsynsmail/A 47898-2023 tillsynsbegäran mail.docx", "A 47898-2023")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46257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42904-2023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46257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Grönvit nattviol</t>
        </is>
      </c>
      <c r="W52">
        <f>HYPERLINK("https://klasma.github.io/Logging_1496/artfynd/A 42904-2023 artfynd.xlsx", "A 42904-2023")</f>
        <v/>
      </c>
      <c r="X52">
        <f>HYPERLINK("https://klasma.github.io/Logging_1496/kartor/A 42904-2023 karta.png", "A 42904-2023")</f>
        <v/>
      </c>
      <c r="Y52">
        <f>HYPERLINK("https://klasma.github.io/Logging_1496/kartor_geotiff/A 42904-2023 georefererad karta.tif", "A 42904-2023")</f>
        <v/>
      </c>
      <c r="AA52">
        <f>HYPERLINK("https://klasma.github.io/Logging_1496/klagomål/A 42904-2023 FSC-klagomål.docx", "A 42904-2023")</f>
        <v/>
      </c>
      <c r="AB52">
        <f>HYPERLINK("https://klasma.github.io/Logging_1496/klagomålsmail/A 42904-2023 FSC-klagomål mail.docx", "A 42904-2023")</f>
        <v/>
      </c>
      <c r="AC52">
        <f>HYPERLINK("https://klasma.github.io/Logging_1496/tillsyn/A 42904-2023 tillsynsbegäran.docx", "A 42904-2023")</f>
        <v/>
      </c>
      <c r="AD52">
        <f>HYPERLINK("https://klasma.github.io/Logging_1496/tillsynsmail/A 42904-2023 tillsynsbegäran mail.docx", "A 42904-2023")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46257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4464-2026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46257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Myskmadra</t>
        </is>
      </c>
      <c r="W54">
        <f>HYPERLINK("https://klasma.github.io/Logging_1496/artfynd/A 4464-2026 artfynd.xlsx", "A 4464-2026")</f>
        <v/>
      </c>
      <c r="X54">
        <f>HYPERLINK("https://klasma.github.io/Logging_1496/kartor/A 4464-2026 karta.png", "A 4464-2026")</f>
        <v/>
      </c>
      <c r="Y54">
        <f>HYPERLINK("https://klasma.github.io/Logging_1496/kartor_geotiff/A 4464-2026 georefererad karta.tif", "A 4464-2026")</f>
        <v/>
      </c>
      <c r="AA54">
        <f>HYPERLINK("https://klasma.github.io/Logging_1496/klagomål/A 4464-2026 FSC-klagomål.docx", "A 4464-2026")</f>
        <v/>
      </c>
      <c r="AB54">
        <f>HYPERLINK("https://klasma.github.io/Logging_1496/klagomålsmail/A 4464-2026 FSC-klagomål mail.docx", "A 4464-2026")</f>
        <v/>
      </c>
      <c r="AC54">
        <f>HYPERLINK("https://klasma.github.io/Logging_1496/tillsyn/A 4464-2026 tillsynsbegäran.docx", "A 4464-2026")</f>
        <v/>
      </c>
      <c r="AD54">
        <f>HYPERLINK("https://klasma.github.io/Logging_1496/tillsynsmail/A 4464-2026 tillsynsbegäran mail.docx", "A 4464-2026")</f>
        <v/>
      </c>
    </row>
    <row r="55" ht="15" customHeight="1">
      <c r="A55" t="inlineStr">
        <is>
          <t>A 6093-2026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46052</v>
      </c>
      <c r="E55" s="1" t="n">
        <v>46257</v>
      </c>
      <c r="F55" t="inlineStr">
        <is>
          <t>VÄSTRA GÖTALANDS LÄN</t>
        </is>
      </c>
      <c r="G55" t="inlineStr">
        <is>
          <t>SKÖVDE</t>
        </is>
      </c>
      <c r="I55" t="n">
        <v>5.8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HYPERLINK("https://klasma.github.io/Logging_1496/artfynd/A 6093-2026 artfynd.xlsx", "A 6093-2026")</f>
        <v/>
      </c>
      <c r="X55">
        <f>HYPERLINK("https://klasma.github.io/Logging_1496/kartor/A 6093-2026 karta.png", "A 6093-2026")</f>
        <v/>
      </c>
      <c r="Y55">
        <f>HYPERLINK("https://klasma.github.io/Logging_1496/kartor_geotiff/A 6093-2026 georefererad karta.tif", "A 6093-2026")</f>
        <v/>
      </c>
      <c r="AA55">
        <f>HYPERLINK("https://klasma.github.io/Logging_1496/klagomål/A 6093-2026 FSC-klagomål.docx", "A 6093-2026")</f>
        <v/>
      </c>
      <c r="AB55">
        <f>HYPERLINK("https://klasma.github.io/Logging_1496/klagomålsmail/A 6093-2026 FSC-klagomål mail.docx", "A 6093-2026")</f>
        <v/>
      </c>
      <c r="AC55">
        <f>HYPERLINK("https://klasma.github.io/Logging_1496/tillsyn/A 6093-2026 tillsynsbegäran.docx", "A 6093-2026")</f>
        <v/>
      </c>
      <c r="AD55">
        <f>HYPERLINK("https://klasma.github.io/Logging_1496/tillsynsmail/A 6093-2026 tillsynsbegäran mail.docx", "A 6093-2026")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46257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46257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HYPERLINK("https://klasma.github.io/Logging_1496/artfynd/A 24814-2026 artfynd.xlsx", "A 24814-2026")</f>
        <v/>
      </c>
      <c r="X57">
        <f>HYPERLINK("https://klasma.github.io/Logging_1496/kartor/A 24814-2026 karta.png", "A 24814-2026")</f>
        <v/>
      </c>
      <c r="Y57">
        <f>HYPERLINK("https://klasma.github.io/Logging_1496/kartor_geotiff/A 24814-2026 georefererad karta.tif", "A 24814-2026")</f>
        <v/>
      </c>
      <c r="AA57">
        <f>HYPERLINK("https://klasma.github.io/Logging_1496/klagomål/A 24814-2026 FSC-klagomål.docx", "A 24814-2026")</f>
        <v/>
      </c>
      <c r="AB57">
        <f>HYPERLINK("https://klasma.github.io/Logging_1496/klagomålsmail/A 24814-2026 FSC-klagomål mail.docx", "A 24814-2026")</f>
        <v/>
      </c>
      <c r="AC57">
        <f>HYPERLINK("https://klasma.github.io/Logging_1496/tillsyn/A 24814-2026 tillsynsbegäran.docx", "A 24814-2026")</f>
        <v/>
      </c>
      <c r="AD57">
        <f>HYPERLINK("https://klasma.github.io/Logging_1496/tillsynsmail/A 24814-2026 tillsynsbegäran mail.docx", "A 24814-2026")</f>
        <v/>
      </c>
    </row>
    <row r="58" ht="15" customHeight="1">
      <c r="A58" t="inlineStr">
        <is>
          <t>A 3951-2024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46257</v>
      </c>
      <c r="F58" t="inlineStr">
        <is>
          <t>VÄSTRA GÖTALANDS LÄN</t>
        </is>
      </c>
      <c r="G58" t="inlineStr">
        <is>
          <t>SKÖVDE</t>
        </is>
      </c>
      <c r="I58" t="n">
        <v>10.7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3951-2024 artfynd.xlsx", "A 3951-2024")</f>
        <v/>
      </c>
      <c r="X58">
        <f>HYPERLINK("https://klasma.github.io/Logging_1496/kartor/A 3951-2024 karta.png", "A 3951-2024")</f>
        <v/>
      </c>
      <c r="Y58">
        <f>HYPERLINK("https://klasma.github.io/Logging_1496/kartor_geotiff/A 3951-2024 georefererad karta.tif", "A 3951-2024")</f>
        <v/>
      </c>
      <c r="AA58">
        <f>HYPERLINK("https://klasma.github.io/Logging_1496/klagomål/A 3951-2024 FSC-klagomål.docx", "A 3951-2024")</f>
        <v/>
      </c>
      <c r="AB58">
        <f>HYPERLINK("https://klasma.github.io/Logging_1496/klagomålsmail/A 3951-2024 FSC-klagomål mail.docx", "A 3951-2024")</f>
        <v/>
      </c>
      <c r="AC58">
        <f>HYPERLINK("https://klasma.github.io/Logging_1496/tillsyn/A 3951-2024 tillsynsbegäran.docx", "A 3951-2024")</f>
        <v/>
      </c>
      <c r="AD58">
        <f>HYPERLINK("https://klasma.github.io/Logging_1496/tillsynsmail/A 3951-2024 tillsynsbegäran mail.docx", "A 3951-2024")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46257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46257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28717-2026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46257</v>
      </c>
      <c r="F61" t="inlineStr">
        <is>
          <t>VÄSTRA GÖTALANDS LÄN</t>
        </is>
      </c>
      <c r="G61" t="inlineStr">
        <is>
          <t>SKÖVDE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HYPERLINK("https://klasma.github.io/Logging_1496/artfynd/A 28717-2026 artfynd.xlsx", "A 28717-2026")</f>
        <v/>
      </c>
      <c r="X61">
        <f>HYPERLINK("https://klasma.github.io/Logging_1496/kartor/A 28717-2026 karta.png", "A 28717-2026")</f>
        <v/>
      </c>
      <c r="Y61">
        <f>HYPERLINK("https://klasma.github.io/Logging_1496/kartor_geotiff/A 28717-2026 georefererad karta.tif", "A 28717-2026")</f>
        <v/>
      </c>
      <c r="AA61">
        <f>HYPERLINK("https://klasma.github.io/Logging_1496/klagomål/A 28717-2026 FSC-klagomål.docx", "A 28717-2026")</f>
        <v/>
      </c>
      <c r="AB61">
        <f>HYPERLINK("https://klasma.github.io/Logging_1496/klagomålsmail/A 28717-2026 FSC-klagomål mail.docx", "A 28717-2026")</f>
        <v/>
      </c>
      <c r="AC61">
        <f>HYPERLINK("https://klasma.github.io/Logging_1496/tillsyn/A 28717-2026 tillsynsbegäran.docx", "A 28717-2026")</f>
        <v/>
      </c>
      <c r="AD61">
        <f>HYPERLINK("https://klasma.github.io/Logging_1496/tillsynsmail/A 28717-2026 tillsynsbegäran mail.docx", "A 28717-2026")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46257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46257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46257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46257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46257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46257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46257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46257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46257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46257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46257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46257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46257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46257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46257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46257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46257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46257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46257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45267</v>
      </c>
      <c r="E81" s="1" t="n">
        <v>46257</v>
      </c>
      <c r="F81" t="inlineStr">
        <is>
          <t>VÄSTRA GÖTALANDS LÄN</t>
        </is>
      </c>
      <c r="G81" t="inlineStr">
        <is>
          <t>SKÖVDE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46257</v>
      </c>
      <c r="F82" t="inlineStr">
        <is>
          <t>VÄSTRA GÖTALANDS LÄN</t>
        </is>
      </c>
      <c r="G82" t="inlineStr">
        <is>
          <t>SKÖVDE</t>
        </is>
      </c>
      <c r="H82" t="inlineStr">
        <is>
          <t>Kommuner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46257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25642-2025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45803</v>
      </c>
      <c r="E84" s="1" t="n">
        <v>46257</v>
      </c>
      <c r="F84" t="inlineStr">
        <is>
          <t>VÄSTRA GÖTALANDS LÄN</t>
        </is>
      </c>
      <c r="G84" t="inlineStr">
        <is>
          <t>SKÖVDE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46257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25271-2025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46257</v>
      </c>
      <c r="F86" t="inlineStr">
        <is>
          <t>VÄSTRA GÖTALANDS LÄN</t>
        </is>
      </c>
      <c r="G86" t="inlineStr">
        <is>
          <t>SKÖVDE</t>
        </is>
      </c>
      <c r="H86" t="inlineStr">
        <is>
          <t>Kommuner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25639-2025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45800</v>
      </c>
      <c r="E87" s="1" t="n">
        <v>46257</v>
      </c>
      <c r="F87" t="inlineStr">
        <is>
          <t>VÄSTRA GÖTALANDS LÄN</t>
        </is>
      </c>
      <c r="G87" t="inlineStr">
        <is>
          <t>SKÖVDE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45756</v>
      </c>
      <c r="E88" s="1" t="n">
        <v>46257</v>
      </c>
      <c r="F88" t="inlineStr">
        <is>
          <t>VÄSTRA GÖTALANDS LÄN</t>
        </is>
      </c>
      <c r="G88" t="inlineStr">
        <is>
          <t>SKÖVDE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45670</v>
      </c>
      <c r="E89" s="1" t="n">
        <v>46257</v>
      </c>
      <c r="F89" t="inlineStr">
        <is>
          <t>VÄSTRA GÖTALANDS LÄN</t>
        </is>
      </c>
      <c r="G89" t="inlineStr">
        <is>
          <t>SKÖVDE</t>
        </is>
      </c>
      <c r="I89" t="n">
        <v>11.8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44823</v>
      </c>
      <c r="E90" s="1" t="n">
        <v>46257</v>
      </c>
      <c r="F90" t="inlineStr">
        <is>
          <t>VÄSTRA GÖTALANDS LÄN</t>
        </is>
      </c>
      <c r="G90" t="inlineStr">
        <is>
          <t>SKÖVDE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46257</v>
      </c>
      <c r="F91" t="inlineStr">
        <is>
          <t>VÄSTRA GÖTALANDS LÄN</t>
        </is>
      </c>
      <c r="G91" t="inlineStr">
        <is>
          <t>SKÖVDE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46257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46257</v>
      </c>
      <c r="F93" t="inlineStr">
        <is>
          <t>VÄSTRA GÖTALANDS LÄN</t>
        </is>
      </c>
      <c r="G93" t="inlineStr">
        <is>
          <t>SKÖVDE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46257</v>
      </c>
      <c r="F94" t="inlineStr">
        <is>
          <t>VÄSTRA GÖTALANDS LÄN</t>
        </is>
      </c>
      <c r="G94" t="inlineStr">
        <is>
          <t>SKÖVDE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46257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46257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46257</v>
      </c>
      <c r="F97" t="inlineStr">
        <is>
          <t>VÄSTRA GÖTALANDS LÄN</t>
        </is>
      </c>
      <c r="G97" t="inlineStr">
        <is>
          <t>SKÖVDE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46257</v>
      </c>
      <c r="F98" t="inlineStr">
        <is>
          <t>VÄSTRA GÖTALANDS LÄN</t>
        </is>
      </c>
      <c r="G98" t="inlineStr">
        <is>
          <t>SKÖVDE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45853</v>
      </c>
      <c r="E99" s="1" t="n">
        <v>46257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46257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46257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46257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Kyrkan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46257</v>
      </c>
      <c r="F103" t="inlineStr">
        <is>
          <t>VÄSTRA GÖTALANDS LÄN</t>
        </is>
      </c>
      <c r="G103" t="inlineStr">
        <is>
          <t>SKÖVDE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46257</v>
      </c>
      <c r="F104" t="inlineStr">
        <is>
          <t>VÄSTRA GÖTALANDS LÄN</t>
        </is>
      </c>
      <c r="G104" t="inlineStr">
        <is>
          <t>SKÖVDE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46257</v>
      </c>
      <c r="F105" t="inlineStr">
        <is>
          <t>VÄSTRA GÖTALANDS LÄN</t>
        </is>
      </c>
      <c r="G105" t="inlineStr">
        <is>
          <t>SKÖVDE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47900-2023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45204</v>
      </c>
      <c r="E106" s="1" t="n">
        <v>46257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46257</v>
      </c>
      <c r="F107" t="inlineStr">
        <is>
          <t>VÄSTRA GÖTALANDS LÄN</t>
        </is>
      </c>
      <c r="G107" t="inlineStr">
        <is>
          <t>SKÖVDE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45709</v>
      </c>
      <c r="E108" s="1" t="n">
        <v>46257</v>
      </c>
      <c r="F108" t="inlineStr">
        <is>
          <t>VÄSTRA GÖTALANDS LÄN</t>
        </is>
      </c>
      <c r="G108" t="inlineStr">
        <is>
          <t>SKÖVDE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46257</v>
      </c>
      <c r="F109" t="inlineStr">
        <is>
          <t>VÄSTRA GÖTALANDS LÄN</t>
        </is>
      </c>
      <c r="G109" t="inlineStr">
        <is>
          <t>SKÖVDE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46257</v>
      </c>
      <c r="F110" t="inlineStr">
        <is>
          <t>VÄSTRA GÖTALANDS LÄN</t>
        </is>
      </c>
      <c r="G110" t="inlineStr">
        <is>
          <t>SKÖVDE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46257</v>
      </c>
      <c r="F111" t="inlineStr">
        <is>
          <t>VÄSTRA GÖTALANDS LÄN</t>
        </is>
      </c>
      <c r="G111" t="inlineStr">
        <is>
          <t>SKÖVDE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46257</v>
      </c>
      <c r="F112" t="inlineStr">
        <is>
          <t>VÄSTRA GÖTALANDS LÄN</t>
        </is>
      </c>
      <c r="G112" t="inlineStr">
        <is>
          <t>SKÖVDE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46257</v>
      </c>
      <c r="F113" t="inlineStr">
        <is>
          <t>VÄSTRA GÖTALANDS LÄN</t>
        </is>
      </c>
      <c r="G113" t="inlineStr">
        <is>
          <t>SKÖVDE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46257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46257</v>
      </c>
      <c r="F115" t="inlineStr">
        <is>
          <t>VÄSTRA GÖTALANDS LÄN</t>
        </is>
      </c>
      <c r="G115" t="inlineStr">
        <is>
          <t>SKÖVDE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46257</v>
      </c>
      <c r="F116" t="inlineStr">
        <is>
          <t>VÄSTRA GÖTALANDS LÄN</t>
        </is>
      </c>
      <c r="G116" t="inlineStr">
        <is>
          <t>SKÖVDE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45827</v>
      </c>
      <c r="E117" s="1" t="n">
        <v>46257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46257</v>
      </c>
      <c r="F118" t="inlineStr">
        <is>
          <t>VÄSTRA GÖTALANDS LÄN</t>
        </is>
      </c>
      <c r="G118" t="inlineStr">
        <is>
          <t>SKÖVDE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35280-2024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45530</v>
      </c>
      <c r="E119" s="1" t="n">
        <v>46257</v>
      </c>
      <c r="F119" t="inlineStr">
        <is>
          <t>VÄSTRA GÖTALANDS LÄN</t>
        </is>
      </c>
      <c r="G119" t="inlineStr">
        <is>
          <t>SKÖVDE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45401</v>
      </c>
      <c r="E120" s="1" t="n">
        <v>46257</v>
      </c>
      <c r="F120" t="inlineStr">
        <is>
          <t>VÄSTRA GÖTALANDS LÄN</t>
        </is>
      </c>
      <c r="G120" t="inlineStr">
        <is>
          <t>SKÖVDE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46257</v>
      </c>
      <c r="F121" t="inlineStr">
        <is>
          <t>VÄSTRA GÖTALANDS LÄN</t>
        </is>
      </c>
      <c r="G121" t="inlineStr">
        <is>
          <t>SKÖVDE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45322</v>
      </c>
      <c r="E122" s="1" t="n">
        <v>46257</v>
      </c>
      <c r="F122" t="inlineStr">
        <is>
          <t>VÄSTRA GÖTALANDS LÄN</t>
        </is>
      </c>
      <c r="G122" t="inlineStr">
        <is>
          <t>SKÖVDE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44938</v>
      </c>
      <c r="E123" s="1" t="n">
        <v>46257</v>
      </c>
      <c r="F123" t="inlineStr">
        <is>
          <t>VÄSTRA GÖTALANDS LÄN</t>
        </is>
      </c>
      <c r="G123" t="inlineStr">
        <is>
          <t>SKÖVDE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46257</v>
      </c>
      <c r="F124" t="inlineStr">
        <is>
          <t>VÄSTRA GÖTALANDS LÄN</t>
        </is>
      </c>
      <c r="G124" t="inlineStr">
        <is>
          <t>SKÖVDE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46257</v>
      </c>
      <c r="F125" t="inlineStr">
        <is>
          <t>VÄSTRA GÖTALANDS LÄN</t>
        </is>
      </c>
      <c r="G125" t="inlineStr">
        <is>
          <t>SKÖVDE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46257</v>
      </c>
      <c r="F126" t="inlineStr">
        <is>
          <t>VÄSTRA GÖTALANDS LÄN</t>
        </is>
      </c>
      <c r="G126" t="inlineStr">
        <is>
          <t>SKÖVDE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60117-2021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44495</v>
      </c>
      <c r="E127" s="1" t="n">
        <v>46257</v>
      </c>
      <c r="F127" t="inlineStr">
        <is>
          <t>VÄSTRA GÖTALANDS LÄN</t>
        </is>
      </c>
      <c r="G127" t="inlineStr">
        <is>
          <t>SKÖVDE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46257</v>
      </c>
      <c r="F128" t="inlineStr">
        <is>
          <t>VÄSTRA GÖTALANDS LÄN</t>
        </is>
      </c>
      <c r="G128" t="inlineStr">
        <is>
          <t>SKÖVDE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46257</v>
      </c>
      <c r="F129" t="inlineStr">
        <is>
          <t>VÄSTRA GÖTALANDS LÄN</t>
        </is>
      </c>
      <c r="G129" t="inlineStr">
        <is>
          <t>SKÖVDE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46257</v>
      </c>
      <c r="F130" t="inlineStr">
        <is>
          <t>VÄSTRA GÖTALANDS LÄN</t>
        </is>
      </c>
      <c r="G130" t="inlineStr">
        <is>
          <t>SKÖVDE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46257</v>
      </c>
      <c r="F131" t="inlineStr">
        <is>
          <t>VÄSTRA GÖTALANDS LÄN</t>
        </is>
      </c>
      <c r="G131" t="inlineStr">
        <is>
          <t>SKÖVDE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46257</v>
      </c>
      <c r="F132" t="inlineStr">
        <is>
          <t>VÄSTRA GÖTALANDS LÄN</t>
        </is>
      </c>
      <c r="G132" t="inlineStr">
        <is>
          <t>SKÖVDE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45560</v>
      </c>
      <c r="E133" s="1" t="n">
        <v>46257</v>
      </c>
      <c r="F133" t="inlineStr">
        <is>
          <t>VÄSTRA GÖTALANDS LÄN</t>
        </is>
      </c>
      <c r="G133" t="inlineStr">
        <is>
          <t>SKÖVDE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45749</v>
      </c>
      <c r="E134" s="1" t="n">
        <v>46257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46257</v>
      </c>
      <c r="F135" t="inlineStr">
        <is>
          <t>VÄSTRA GÖTALANDS LÄN</t>
        </is>
      </c>
      <c r="G135" t="inlineStr">
        <is>
          <t>SKÖVDE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46257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46257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45693</v>
      </c>
      <c r="E138" s="1" t="n">
        <v>46257</v>
      </c>
      <c r="F138" t="inlineStr">
        <is>
          <t>VÄSTRA GÖTALANDS LÄN</t>
        </is>
      </c>
      <c r="G138" t="inlineStr">
        <is>
          <t>SKÖVDE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45306</v>
      </c>
      <c r="E139" s="1" t="n">
        <v>46257</v>
      </c>
      <c r="F139" t="inlineStr">
        <is>
          <t>VÄSTRA GÖTALANDS LÄN</t>
        </is>
      </c>
      <c r="G139" t="inlineStr">
        <is>
          <t>SKÖVDE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44601</v>
      </c>
      <c r="E140" s="1" t="n">
        <v>46257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Kommuner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46257</v>
      </c>
      <c r="F141" t="inlineStr">
        <is>
          <t>VÄSTRA GÖTALANDS LÄN</t>
        </is>
      </c>
      <c r="G141" t="inlineStr">
        <is>
          <t>SKÖVDE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45230</v>
      </c>
      <c r="E142" s="1" t="n">
        <v>46257</v>
      </c>
      <c r="F142" t="inlineStr">
        <is>
          <t>VÄSTRA GÖTALANDS LÄN</t>
        </is>
      </c>
      <c r="G142" t="inlineStr">
        <is>
          <t>SKÖVDE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46257</v>
      </c>
      <c r="F143" t="inlineStr">
        <is>
          <t>VÄSTRA GÖTALANDS LÄN</t>
        </is>
      </c>
      <c r="G143" t="inlineStr">
        <is>
          <t>SKÖVDE</t>
        </is>
      </c>
      <c r="I143" t="n">
        <v>11.7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46257</v>
      </c>
      <c r="F144" t="inlineStr">
        <is>
          <t>VÄSTRA GÖTALANDS LÄN</t>
        </is>
      </c>
      <c r="G144" t="inlineStr">
        <is>
          <t>SKÖVDE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46257</v>
      </c>
      <c r="F145" t="inlineStr">
        <is>
          <t>VÄSTRA GÖTALANDS LÄN</t>
        </is>
      </c>
      <c r="G145" t="inlineStr">
        <is>
          <t>SKÖVDE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46257</v>
      </c>
      <c r="F146" t="inlineStr">
        <is>
          <t>VÄSTRA GÖTALANDS LÄN</t>
        </is>
      </c>
      <c r="G146" t="inlineStr">
        <is>
          <t>SKÖVDE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46257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45324</v>
      </c>
      <c r="E148" s="1" t="n">
        <v>46257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45245</v>
      </c>
      <c r="E149" s="1" t="n">
        <v>46257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46257</v>
      </c>
      <c r="F150" t="inlineStr">
        <is>
          <t>VÄSTRA GÖTALANDS LÄN</t>
        </is>
      </c>
      <c r="G150" t="inlineStr">
        <is>
          <t>SKÖVDE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46257</v>
      </c>
      <c r="F151" t="inlineStr">
        <is>
          <t>VÄSTRA GÖTALANDS LÄN</t>
        </is>
      </c>
      <c r="G151" t="inlineStr">
        <is>
          <t>SKÖVDE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46257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46257</v>
      </c>
      <c r="F153" t="inlineStr">
        <is>
          <t>VÄSTRA GÖTALANDS LÄN</t>
        </is>
      </c>
      <c r="G153" t="inlineStr">
        <is>
          <t>SKÖVDE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46257</v>
      </c>
      <c r="F154" t="inlineStr">
        <is>
          <t>VÄSTRA GÖTALANDS LÄN</t>
        </is>
      </c>
      <c r="G154" t="inlineStr">
        <is>
          <t>SKÖVDE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46257</v>
      </c>
      <c r="F155" t="inlineStr">
        <is>
          <t>VÄSTRA GÖTALANDS LÄN</t>
        </is>
      </c>
      <c r="G155" t="inlineStr">
        <is>
          <t>SKÖVDE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45215</v>
      </c>
      <c r="E156" s="1" t="n">
        <v>46257</v>
      </c>
      <c r="F156" t="inlineStr">
        <is>
          <t>VÄSTRA GÖTALANDS LÄN</t>
        </is>
      </c>
      <c r="G156" t="inlineStr">
        <is>
          <t>SKÖVDE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46257</v>
      </c>
      <c r="F157" t="inlineStr">
        <is>
          <t>VÄSTRA GÖTALANDS LÄN</t>
        </is>
      </c>
      <c r="G157" t="inlineStr">
        <is>
          <t>SKÖVDE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45846</v>
      </c>
      <c r="E158" s="1" t="n">
        <v>46257</v>
      </c>
      <c r="F158" t="inlineStr">
        <is>
          <t>VÄSTRA GÖTALANDS LÄN</t>
        </is>
      </c>
      <c r="G158" t="inlineStr">
        <is>
          <t>SKÖVDE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46257</v>
      </c>
      <c r="F159" t="inlineStr">
        <is>
          <t>VÄSTRA GÖTALANDS LÄN</t>
        </is>
      </c>
      <c r="G159" t="inlineStr">
        <is>
          <t>SKÖVDE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46257</v>
      </c>
      <c r="F160" t="inlineStr">
        <is>
          <t>VÄSTRA GÖTALANDS LÄN</t>
        </is>
      </c>
      <c r="G160" t="inlineStr">
        <is>
          <t>SKÖVDE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46257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46257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46257</v>
      </c>
      <c r="F163" t="inlineStr">
        <is>
          <t>VÄSTRA GÖTALANDS LÄN</t>
        </is>
      </c>
      <c r="G163" t="inlineStr">
        <is>
          <t>SKÖVDE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67134-2021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46257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45013</v>
      </c>
      <c r="E165" s="1" t="n">
        <v>46257</v>
      </c>
      <c r="F165" t="inlineStr">
        <is>
          <t>VÄSTRA GÖTALANDS LÄN</t>
        </is>
      </c>
      <c r="G165" t="inlineStr">
        <is>
          <t>SKÖVDE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46257</v>
      </c>
      <c r="F166" t="inlineStr">
        <is>
          <t>VÄSTRA GÖTALANDS LÄN</t>
        </is>
      </c>
      <c r="G166" t="inlineStr">
        <is>
          <t>SKÖVDE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45385</v>
      </c>
      <c r="E167" s="1" t="n">
        <v>46257</v>
      </c>
      <c r="F167" t="inlineStr">
        <is>
          <t>VÄSTRA GÖTALANDS LÄN</t>
        </is>
      </c>
      <c r="G167" t="inlineStr">
        <is>
          <t>SKÖVDE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45086</v>
      </c>
      <c r="E168" s="1" t="n">
        <v>46257</v>
      </c>
      <c r="F168" t="inlineStr">
        <is>
          <t>VÄSTRA GÖTALANDS LÄN</t>
        </is>
      </c>
      <c r="G168" t="inlineStr">
        <is>
          <t>SKÖVDE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46257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13669-2023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45006</v>
      </c>
      <c r="E170" s="1" t="n">
        <v>46257</v>
      </c>
      <c r="F170" t="inlineStr">
        <is>
          <t>VÄSTRA GÖTALANDS LÄN</t>
        </is>
      </c>
      <c r="G170" t="inlineStr">
        <is>
          <t>SKÖVDE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46257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46257</v>
      </c>
      <c r="F172" t="inlineStr">
        <is>
          <t>VÄSTRA GÖTALANDS LÄN</t>
        </is>
      </c>
      <c r="G172" t="inlineStr">
        <is>
          <t>SKÖVDE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46257</v>
      </c>
      <c r="F173" t="inlineStr">
        <is>
          <t>VÄSTRA GÖTALANDS LÄN</t>
        </is>
      </c>
      <c r="G173" t="inlineStr">
        <is>
          <t>SKÖVDE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46257</v>
      </c>
      <c r="F174" t="inlineStr">
        <is>
          <t>VÄSTRA GÖTALANDS LÄN</t>
        </is>
      </c>
      <c r="G174" t="inlineStr">
        <is>
          <t>SKÖVDE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46257</v>
      </c>
      <c r="F175" t="inlineStr">
        <is>
          <t>VÄSTRA GÖTALANDS LÄN</t>
        </is>
      </c>
      <c r="G175" t="inlineStr">
        <is>
          <t>SKÖVDE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46257</v>
      </c>
      <c r="F176" t="inlineStr">
        <is>
          <t>VÄSTRA GÖTALANDS LÄN</t>
        </is>
      </c>
      <c r="G176" t="inlineStr">
        <is>
          <t>SKÖVDE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46257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46257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46257</v>
      </c>
      <c r="F179" t="inlineStr">
        <is>
          <t>VÄSTRA GÖTALANDS LÄN</t>
        </is>
      </c>
      <c r="G179" t="inlineStr">
        <is>
          <t>SKÖVDE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46257</v>
      </c>
      <c r="F180" t="inlineStr">
        <is>
          <t>VÄSTRA GÖTALANDS LÄN</t>
        </is>
      </c>
      <c r="G180" t="inlineStr">
        <is>
          <t>SKÖVDE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46257</v>
      </c>
      <c r="F181" t="inlineStr">
        <is>
          <t>VÄSTRA GÖTALANDS LÄN</t>
        </is>
      </c>
      <c r="G181" t="inlineStr">
        <is>
          <t>SKÖVDE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46257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46257</v>
      </c>
      <c r="F183" t="inlineStr">
        <is>
          <t>VÄSTRA GÖTALANDS LÄN</t>
        </is>
      </c>
      <c r="G183" t="inlineStr">
        <is>
          <t>SKÖVDE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46257</v>
      </c>
      <c r="F184" t="inlineStr">
        <is>
          <t>VÄSTRA GÖTALANDS LÄN</t>
        </is>
      </c>
      <c r="G184" t="inlineStr">
        <is>
          <t>SKÖVDE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63751-2025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46017</v>
      </c>
      <c r="E185" s="1" t="n">
        <v>46257</v>
      </c>
      <c r="F185" t="inlineStr">
        <is>
          <t>VÄSTRA GÖTALANDS LÄN</t>
        </is>
      </c>
      <c r="G185" t="inlineStr">
        <is>
          <t>SKÖVDE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44599</v>
      </c>
      <c r="E186" s="1" t="n">
        <v>46257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Kyrkan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44750</v>
      </c>
      <c r="E187" s="1" t="n">
        <v>46257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46257</v>
      </c>
      <c r="F188" t="inlineStr">
        <is>
          <t>VÄSTRA GÖTALANDS LÄN</t>
        </is>
      </c>
      <c r="G188" t="inlineStr">
        <is>
          <t>SKÖVDE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51886-2021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44462</v>
      </c>
      <c r="E189" s="1" t="n">
        <v>46257</v>
      </c>
      <c r="F189" t="inlineStr">
        <is>
          <t>VÄSTRA GÖTALANDS LÄN</t>
        </is>
      </c>
      <c r="G189" t="inlineStr">
        <is>
          <t>SKÖVDE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46257</v>
      </c>
      <c r="F190" t="inlineStr">
        <is>
          <t>VÄSTRA GÖTALANDS LÄN</t>
        </is>
      </c>
      <c r="G190" t="inlineStr">
        <is>
          <t>SKÖVDE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46257</v>
      </c>
      <c r="F191" t="inlineStr">
        <is>
          <t>VÄSTRA GÖTALANDS LÄN</t>
        </is>
      </c>
      <c r="G191" t="inlineStr">
        <is>
          <t>SKÖVDE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60588-2023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45259</v>
      </c>
      <c r="E192" s="1" t="n">
        <v>46257</v>
      </c>
      <c r="F192" t="inlineStr">
        <is>
          <t>VÄSTRA GÖTALANDS LÄN</t>
        </is>
      </c>
      <c r="G192" t="inlineStr">
        <is>
          <t>SKÖVDE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46257</v>
      </c>
      <c r="F193" t="inlineStr">
        <is>
          <t>VÄSTRA GÖTALANDS LÄN</t>
        </is>
      </c>
      <c r="G193" t="inlineStr">
        <is>
          <t>SKÖVDE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45314</v>
      </c>
      <c r="E194" s="1" t="n">
        <v>46257</v>
      </c>
      <c r="F194" t="inlineStr">
        <is>
          <t>VÄSTRA GÖTALANDS LÄN</t>
        </is>
      </c>
      <c r="G194" t="inlineStr">
        <is>
          <t>SKÖVDE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2901-2026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46038</v>
      </c>
      <c r="E195" s="1" t="n">
        <v>46257</v>
      </c>
      <c r="F195" t="inlineStr">
        <is>
          <t>VÄSTRA GÖTALANDS LÄN</t>
        </is>
      </c>
      <c r="G195" t="inlineStr">
        <is>
          <t>SKÖVDE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46257</v>
      </c>
      <c r="F196" t="inlineStr">
        <is>
          <t>VÄSTRA GÖTALANDS LÄN</t>
        </is>
      </c>
      <c r="G196" t="inlineStr">
        <is>
          <t>SKÖVDE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46257</v>
      </c>
      <c r="F197" t="inlineStr">
        <is>
          <t>VÄSTRA GÖTALANDS LÄN</t>
        </is>
      </c>
      <c r="G197" t="inlineStr">
        <is>
          <t>SKÖVDE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6092-2026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46052</v>
      </c>
      <c r="E198" s="1" t="n">
        <v>46257</v>
      </c>
      <c r="F198" t="inlineStr">
        <is>
          <t>VÄSTRA GÖTALANDS LÄN</t>
        </is>
      </c>
      <c r="G198" t="inlineStr">
        <is>
          <t>SKÖVDE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46257</v>
      </c>
      <c r="F199" t="inlineStr">
        <is>
          <t>VÄSTRA GÖTALANDS LÄN</t>
        </is>
      </c>
      <c r="G199" t="inlineStr">
        <is>
          <t>SKÖVDE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46257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46257</v>
      </c>
      <c r="F201" t="inlineStr">
        <is>
          <t>VÄSTRA GÖTALANDS LÄN</t>
        </is>
      </c>
      <c r="G201" t="inlineStr">
        <is>
          <t>SKÖVDE</t>
        </is>
      </c>
      <c r="H201" t="inlineStr">
        <is>
          <t>Övriga statliga verk och myndigheter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46257</v>
      </c>
      <c r="F202" t="inlineStr">
        <is>
          <t>VÄSTRA GÖTALANDS LÄN</t>
        </is>
      </c>
      <c r="G202" t="inlineStr">
        <is>
          <t>SKÖVDE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46257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46257</v>
      </c>
      <c r="F204" t="inlineStr">
        <is>
          <t>VÄSTRA GÖTALANDS LÄN</t>
        </is>
      </c>
      <c r="G204" t="inlineStr">
        <is>
          <t>SKÖVDE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46257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Övriga statliga verk och myndigheter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46257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Övriga statliga verk och myndigheter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46257</v>
      </c>
      <c r="F207" t="inlineStr">
        <is>
          <t>VÄSTRA GÖTALANDS LÄN</t>
        </is>
      </c>
      <c r="G207" t="inlineStr">
        <is>
          <t>SKÖVDE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40205-2022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46257</v>
      </c>
      <c r="F208" t="inlineStr">
        <is>
          <t>VÄSTRA GÖTALANDS LÄN</t>
        </is>
      </c>
      <c r="G208" t="inlineStr">
        <is>
          <t>SKÖVDE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45299</v>
      </c>
      <c r="E209" s="1" t="n">
        <v>46257</v>
      </c>
      <c r="F209" t="inlineStr">
        <is>
          <t>VÄSTRA GÖTALANDS LÄN</t>
        </is>
      </c>
      <c r="G209" t="inlineStr">
        <is>
          <t>SKÖVDE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46257</v>
      </c>
      <c r="F210" t="inlineStr">
        <is>
          <t>VÄSTRA GÖTALANDS LÄN</t>
        </is>
      </c>
      <c r="G210" t="inlineStr">
        <is>
          <t>SKÖVDE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46257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46257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46257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46257</v>
      </c>
      <c r="F214" t="inlineStr">
        <is>
          <t>VÄSTRA GÖTALANDS LÄN</t>
        </is>
      </c>
      <c r="G214" t="inlineStr">
        <is>
          <t>SKÖVDE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46257</v>
      </c>
      <c r="F215" t="inlineStr">
        <is>
          <t>VÄSTRA GÖTALANDS LÄN</t>
        </is>
      </c>
      <c r="G215" t="inlineStr">
        <is>
          <t>SKÖVDE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26914-2026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46185</v>
      </c>
      <c r="E216" s="1" t="n">
        <v>46257</v>
      </c>
      <c r="F216" t="inlineStr">
        <is>
          <t>VÄSTRA GÖTALANDS LÄN</t>
        </is>
      </c>
      <c r="G216" t="inlineStr">
        <is>
          <t>SKÖVDE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46257</v>
      </c>
      <c r="F217" t="inlineStr">
        <is>
          <t>VÄSTRA GÖTALANDS LÄN</t>
        </is>
      </c>
      <c r="G217" t="inlineStr">
        <is>
          <t>SKÖVDE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45687</v>
      </c>
      <c r="E218" s="1" t="n">
        <v>46257</v>
      </c>
      <c r="F218" t="inlineStr">
        <is>
          <t>VÄSTRA GÖTALANDS LÄN</t>
        </is>
      </c>
      <c r="G218" t="inlineStr">
        <is>
          <t>SKÖVDE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46257</v>
      </c>
      <c r="F219" t="inlineStr">
        <is>
          <t>VÄSTRA GÖTALANDS LÄN</t>
        </is>
      </c>
      <c r="G219" t="inlineStr">
        <is>
          <t>SKÖVDE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46257</v>
      </c>
      <c r="F220" t="inlineStr">
        <is>
          <t>VÄSTRA GÖTALANDS LÄN</t>
        </is>
      </c>
      <c r="G220" t="inlineStr">
        <is>
          <t>SKÖVDE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14281-2026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46257</v>
      </c>
      <c r="F221" t="inlineStr">
        <is>
          <t>VÄSTRA GÖTALANDS LÄN</t>
        </is>
      </c>
      <c r="G221" t="inlineStr">
        <is>
          <t>SKÖVDE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45134</v>
      </c>
      <c r="E222" s="1" t="n">
        <v>46257</v>
      </c>
      <c r="F222" t="inlineStr">
        <is>
          <t>VÄSTRA GÖTALANDS LÄN</t>
        </is>
      </c>
      <c r="G222" t="inlineStr">
        <is>
          <t>SKÖVDE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46257</v>
      </c>
      <c r="F223" t="inlineStr">
        <is>
          <t>VÄSTRA GÖTALANDS LÄN</t>
        </is>
      </c>
      <c r="G223" t="inlineStr">
        <is>
          <t>SKÖVDE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17798-2024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45418</v>
      </c>
      <c r="E224" s="1" t="n">
        <v>46257</v>
      </c>
      <c r="F224" t="inlineStr">
        <is>
          <t>VÄSTRA GÖTALANDS LÄN</t>
        </is>
      </c>
      <c r="G224" t="inlineStr">
        <is>
          <t>SKÖVDE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46257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46257</v>
      </c>
      <c r="F226" t="inlineStr">
        <is>
          <t>VÄSTRA GÖTALANDS LÄN</t>
        </is>
      </c>
      <c r="G226" t="inlineStr">
        <is>
          <t>SKÖVDE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45301</v>
      </c>
      <c r="E227" s="1" t="n">
        <v>46257</v>
      </c>
      <c r="F227" t="inlineStr">
        <is>
          <t>VÄSTRA GÖTALANDS LÄN</t>
        </is>
      </c>
      <c r="G227" t="inlineStr">
        <is>
          <t>SKÖVDE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46257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45685</v>
      </c>
      <c r="E229" s="1" t="n">
        <v>46257</v>
      </c>
      <c r="F229" t="inlineStr">
        <is>
          <t>VÄSTRA GÖTALANDS LÄN</t>
        </is>
      </c>
      <c r="G229" t="inlineStr">
        <is>
          <t>SKÖVDE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46257</v>
      </c>
      <c r="F230" t="inlineStr">
        <is>
          <t>VÄSTRA GÖTALANDS LÄN</t>
        </is>
      </c>
      <c r="G230" t="inlineStr">
        <is>
          <t>SKÖVDE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44811</v>
      </c>
      <c r="E231" s="1" t="n">
        <v>46257</v>
      </c>
      <c r="F231" t="inlineStr">
        <is>
          <t>VÄSTRA GÖTALANDS LÄN</t>
        </is>
      </c>
      <c r="G231" t="inlineStr">
        <is>
          <t>SKÖVDE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46257</v>
      </c>
      <c r="F232" t="inlineStr">
        <is>
          <t>VÄSTRA GÖTALANDS LÄN</t>
        </is>
      </c>
      <c r="G232" t="inlineStr">
        <is>
          <t>SKÖVDE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46257</v>
      </c>
      <c r="F233" t="inlineStr">
        <is>
          <t>VÄSTRA GÖTALANDS LÄN</t>
        </is>
      </c>
      <c r="G233" t="inlineStr">
        <is>
          <t>SKÖVDE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46257</v>
      </c>
      <c r="F234" t="inlineStr">
        <is>
          <t>VÄSTRA GÖTALANDS LÄN</t>
        </is>
      </c>
      <c r="G234" t="inlineStr">
        <is>
          <t>SKÖVDE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46257</v>
      </c>
      <c r="F235" t="inlineStr">
        <is>
          <t>VÄSTRA GÖTALANDS LÄN</t>
        </is>
      </c>
      <c r="G235" t="inlineStr">
        <is>
          <t>SKÖVDE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46257</v>
      </c>
      <c r="F236" t="inlineStr">
        <is>
          <t>VÄSTRA GÖTALANDS LÄN</t>
        </is>
      </c>
      <c r="G236" t="inlineStr">
        <is>
          <t>SKÖVDE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45376</v>
      </c>
      <c r="E237" s="1" t="n">
        <v>46257</v>
      </c>
      <c r="F237" t="inlineStr">
        <is>
          <t>VÄSTRA GÖTALANDS LÄN</t>
        </is>
      </c>
      <c r="G237" t="inlineStr">
        <is>
          <t>SKÖVDE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46257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44825</v>
      </c>
      <c r="E239" s="1" t="n">
        <v>46257</v>
      </c>
      <c r="F239" t="inlineStr">
        <is>
          <t>VÄSTRA GÖTALANDS LÄN</t>
        </is>
      </c>
      <c r="G239" t="inlineStr">
        <is>
          <t>SKÖVDE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46257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44804</v>
      </c>
      <c r="E241" s="1" t="n">
        <v>46257</v>
      </c>
      <c r="F241" t="inlineStr">
        <is>
          <t>VÄSTRA GÖTALANDS LÄN</t>
        </is>
      </c>
      <c r="G241" t="inlineStr">
        <is>
          <t>SKÖVDE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46257</v>
      </c>
      <c r="F242" t="inlineStr">
        <is>
          <t>VÄSTRA GÖTALANDS LÄN</t>
        </is>
      </c>
      <c r="G242" t="inlineStr">
        <is>
          <t>SKÖVDE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46257</v>
      </c>
      <c r="F243" t="inlineStr">
        <is>
          <t>VÄSTRA GÖTALANDS LÄN</t>
        </is>
      </c>
      <c r="G243" t="inlineStr">
        <is>
          <t>SKÖVDE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46257</v>
      </c>
      <c r="F244" t="inlineStr">
        <is>
          <t>VÄSTRA GÖTALANDS LÄN</t>
        </is>
      </c>
      <c r="G244" t="inlineStr">
        <is>
          <t>SKÖVDE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46257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46257</v>
      </c>
      <c r="F246" t="inlineStr">
        <is>
          <t>VÄSTRA GÖTALANDS LÄN</t>
        </is>
      </c>
      <c r="G246" t="inlineStr">
        <is>
          <t>SKÖVDE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46257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46257</v>
      </c>
      <c r="F248" t="inlineStr">
        <is>
          <t>VÄSTRA GÖTALANDS LÄN</t>
        </is>
      </c>
      <c r="G248" t="inlineStr">
        <is>
          <t>SKÖVDE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46257</v>
      </c>
      <c r="F249" t="inlineStr">
        <is>
          <t>VÄSTRA GÖTALANDS LÄN</t>
        </is>
      </c>
      <c r="G249" t="inlineStr">
        <is>
          <t>SKÖVDE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46257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46257</v>
      </c>
      <c r="F251" t="inlineStr">
        <is>
          <t>VÄSTRA GÖTALANDS LÄN</t>
        </is>
      </c>
      <c r="G251" t="inlineStr">
        <is>
          <t>SKÖVDE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46257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46257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46257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46257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46257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46257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46257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46257</v>
      </c>
      <c r="F259" t="inlineStr">
        <is>
          <t>VÄSTRA GÖTALANDS LÄN</t>
        </is>
      </c>
      <c r="G259" t="inlineStr">
        <is>
          <t>SKÖVDE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46257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46257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2026-08-23T01:52:34Z</dcterms:created>
  <dcterms:modified xmlns:dcterms="http://purl.org/dc/terms/" xmlns:xsi="http://www.w3.org/2001/XMLSchema-instance" xsi:type="dcterms:W3CDTF">2026-08-23T01:52:35Z</dcterms:modified>
</cp:coreProperties>
</file>