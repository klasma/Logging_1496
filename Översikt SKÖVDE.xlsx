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46224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3</v>
      </c>
      <c r="K2" t="n">
        <v>7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13</v>
      </c>
      <c r="T2" t="n">
        <v>23</v>
      </c>
      <c r="U2" t="n">
        <v>0</v>
      </c>
      <c r="V2" s="2" t="inlineStr">
        <is>
          <t>Ask
Gränsticka
Knärot
Gransotdyna
Stor vårtrattskivling
Blåmossa
Grönpyrola
Skogsknipprot
Stor revmossa
Thomsons trägnagare
Trådticka
Vedticka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46224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46224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46224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46224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46224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46224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46224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46224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6</v>
      </c>
      <c r="V10" s="2" t="inlineStr">
        <is>
          <t>Hässleklocka
Korallrot
Tibast
Grönvit nattviol
Revlummer</t>
        </is>
      </c>
      <c r="W10">
        <f>HYPERLINK("https://klasma.github.io/Logging_1496/artfynd/A 47058-2023 artfynd.xlsx", "A 47058-2023")</f>
        <v/>
      </c>
      <c r="X10">
        <f>HYPERLINK("https://klasma.github.io/Logging_1496/kartor/A 47058-2023 karta.png", "A 47058-2023")</f>
        <v/>
      </c>
      <c r="Y10">
        <f>HYPERLINK("https://klasma.github.io/Logging_1496/kartor_geotiff/A 47058-2023 georefererad karta.tif", "A 47058-2023")</f>
        <v/>
      </c>
      <c r="AA10">
        <f>HYPERLINK("https://klasma.github.io/Logging_1496/klagomål/A 47058-2023 FSC-klagomål.docx", "A 47058-2023")</f>
        <v/>
      </c>
      <c r="AB10">
        <f>HYPERLINK("https://klasma.github.io/Logging_1496/klagomålsmail/A 47058-2023 FSC-klagomål mail.docx", "A 47058-2023")</f>
        <v/>
      </c>
      <c r="AC10">
        <f>HYPERLINK("https://klasma.github.io/Logging_1496/tillsyn/A 47058-2023 tillsynsbegäran.docx", "A 47058-2023")</f>
        <v/>
      </c>
      <c r="AD10">
        <f>HYPERLINK("https://klasma.github.io/Logging_1496/tillsynsmail/A 47058-2023 tillsynsbegäran mail.docx", "A 47058-2023")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46224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46224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46224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57163-2025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46224</v>
      </c>
      <c r="F14" t="inlineStr">
        <is>
          <t>VÄSTRA GÖTALANDS LÄN</t>
        </is>
      </c>
      <c r="G14" t="inlineStr">
        <is>
          <t>SKÖVDE</t>
        </is>
      </c>
      <c r="I14" t="n">
        <v>2.8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Knärot
Dropptaggsvamp
Motaggsvamp
Orange taggsvamp</t>
        </is>
      </c>
      <c r="W14">
        <f>HYPERLINK("https://klasma.github.io/Logging_1496/artfynd/A 57163-2025 artfynd.xlsx", "A 57163-2025")</f>
        <v/>
      </c>
      <c r="X14">
        <f>HYPERLINK("https://klasma.github.io/Logging_1496/kartor/A 57163-2025 karta.png", "A 57163-2025")</f>
        <v/>
      </c>
      <c r="Y14">
        <f>HYPERLINK("https://klasma.github.io/Logging_1496/kartor_geotiff/A 57163-2025 georefererad karta.tif", "A 57163-2025")</f>
        <v/>
      </c>
      <c r="Z14">
        <f>HYPERLINK("https://klasma.github.io/Logging_1496/knärot/A 57163-2025 karta knärot.png", "A 57163-2025")</f>
        <v/>
      </c>
      <c r="AA14">
        <f>HYPERLINK("https://klasma.github.io/Logging_1496/klagomål/A 57163-2025 FSC-klagomål.docx", "A 57163-2025")</f>
        <v/>
      </c>
      <c r="AB14">
        <f>HYPERLINK("https://klasma.github.io/Logging_1496/klagomålsmail/A 57163-2025 FSC-klagomål mail.docx", "A 57163-2025")</f>
        <v/>
      </c>
      <c r="AC14">
        <f>HYPERLINK("https://klasma.github.io/Logging_1496/tillsyn/A 57163-2025 tillsynsbegäran.docx", "A 57163-2025")</f>
        <v/>
      </c>
      <c r="AD14">
        <f>HYPERLINK("https://klasma.github.io/Logging_1496/tillsynsmail/A 57163-2025 tillsynsbegäran mail.docx", "A 57163-2025")</f>
        <v/>
      </c>
    </row>
    <row r="15" ht="15" customHeight="1">
      <c r="A15" t="inlineStr">
        <is>
          <t>A 1630-2024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46224</v>
      </c>
      <c r="F15" t="inlineStr">
        <is>
          <t>VÄSTRA GÖTALANDS LÄN</t>
        </is>
      </c>
      <c r="G15" t="inlineStr">
        <is>
          <t>SKÖVDE</t>
        </is>
      </c>
      <c r="I15" t="n">
        <v>6.1</v>
      </c>
      <c r="J15" t="n">
        <v>2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23</v>
      </c>
      <c r="U15" t="n">
        <v>23</v>
      </c>
      <c r="V15" s="2" t="inlineStr">
        <is>
          <t>Knärot
Entita
Motaggsvamp
Grovticka</t>
        </is>
      </c>
      <c r="W15">
        <f>HYPERLINK("https://klasma.github.io/Logging_1496/artfynd/A 1630-2024 artfynd.xlsx", "A 1630-2024")</f>
        <v/>
      </c>
      <c r="X15">
        <f>HYPERLINK("https://klasma.github.io/Logging_1496/kartor/A 1630-2024 karta.png", "A 1630-2024")</f>
        <v/>
      </c>
      <c r="Y15">
        <f>HYPERLINK("https://klasma.github.io/Logging_1496/kartor_geotiff/A 1630-2024 georefererad karta.tif", "A 1630-2024")</f>
        <v/>
      </c>
      <c r="Z15">
        <f>HYPERLINK("https://klasma.github.io/Logging_1496/knärot/A 1630-2024 karta knärot.png", "A 1630-2024")</f>
        <v/>
      </c>
      <c r="AA15">
        <f>HYPERLINK("https://klasma.github.io/Logging_1496/klagomål/A 1630-2024 FSC-klagomål.docx", "A 1630-2024")</f>
        <v/>
      </c>
      <c r="AB15">
        <f>HYPERLINK("https://klasma.github.io/Logging_1496/klagomålsmail/A 1630-2024 FSC-klagomål mail.docx", "A 1630-2024")</f>
        <v/>
      </c>
      <c r="AC15">
        <f>HYPERLINK("https://klasma.github.io/Logging_1496/tillsyn/A 1630-2024 tillsynsbegäran.docx", "A 1630-2024")</f>
        <v/>
      </c>
      <c r="AD15">
        <f>HYPERLINK("https://klasma.github.io/Logging_1496/tillsynsmail/A 1630-2024 tillsynsbegäran mail.docx", "A 1630-2024")</f>
        <v/>
      </c>
      <c r="AE15">
        <f>HYPERLINK("https://klasma.github.io/Logging_1496/fåglar/A 1630-2024 prioriterade fågelarter.docx", "A 1630-2024")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46224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3410-2023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44949</v>
      </c>
      <c r="E17" s="1" t="n">
        <v>46224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1.1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5</v>
      </c>
      <c r="U17" t="n">
        <v>4</v>
      </c>
      <c r="V17" s="2" t="inlineStr">
        <is>
          <t>Västlig hakmossa
Tallbit
Grönsiska
Revlummer</t>
        </is>
      </c>
      <c r="W17">
        <f>HYPERLINK("https://klasma.github.io/Logging_1496/artfynd/A 3410-2023 artfynd.xlsx", "A 3410-2023")</f>
        <v/>
      </c>
      <c r="X17">
        <f>HYPERLINK("https://klasma.github.io/Logging_1496/kartor/A 3410-2023 karta.png", "A 3410-2023")</f>
        <v/>
      </c>
      <c r="Y17">
        <f>HYPERLINK("https://klasma.github.io/Logging_1496/kartor_geotiff/A 3410-2023 georefererad karta.tif", "A 3410-2023")</f>
        <v/>
      </c>
      <c r="AA17">
        <f>HYPERLINK("https://klasma.github.io/Logging_1496/klagomål/A 3410-2023 FSC-klagomål.docx", "A 3410-2023")</f>
        <v/>
      </c>
      <c r="AB17">
        <f>HYPERLINK("https://klasma.github.io/Logging_1496/klagomålsmail/A 3410-2023 FSC-klagomål mail.docx", "A 3410-2023")</f>
        <v/>
      </c>
      <c r="AC17">
        <f>HYPERLINK("https://klasma.github.io/Logging_1496/tillsyn/A 3410-2023 tillsynsbegäran.docx", "A 3410-2023")</f>
        <v/>
      </c>
      <c r="AD17">
        <f>HYPERLINK("https://klasma.github.io/Logging_1496/tillsynsmail/A 3410-2023 tillsynsbegäran mail.docx", "A 3410-2023")</f>
        <v/>
      </c>
      <c r="AE17">
        <f>HYPERLINK("https://klasma.github.io/Logging_1496/fåglar/A 3410-2023 prioriterade fågelarter.docx", "A 3410-2023")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46224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31621-2024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45506</v>
      </c>
      <c r="E19" s="1" t="n">
        <v>46224</v>
      </c>
      <c r="F19" t="inlineStr">
        <is>
          <t>VÄSTRA GÖTALANDS LÄN</t>
        </is>
      </c>
      <c r="G19" t="inlineStr">
        <is>
          <t>SKÖVDE</t>
        </is>
      </c>
      <c r="I19" t="n">
        <v>1.3</v>
      </c>
      <c r="J19" t="n">
        <v>0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3</v>
      </c>
      <c r="T19" t="n">
        <v>3</v>
      </c>
      <c r="U19" t="n">
        <v>0</v>
      </c>
      <c r="V19" s="2" t="inlineStr">
        <is>
          <t>Ask
Plattsäv
Majviva</t>
        </is>
      </c>
      <c r="W19">
        <f>HYPERLINK("https://klasma.github.io/Logging_1496/artfynd/A 31621-2024 artfynd.xlsx", "A 31621-2024")</f>
        <v/>
      </c>
      <c r="X19">
        <f>HYPERLINK("https://klasma.github.io/Logging_1496/kartor/A 31621-2024 karta.png", "A 31621-2024")</f>
        <v/>
      </c>
      <c r="Y19">
        <f>HYPERLINK("https://klasma.github.io/Logging_1496/kartor_geotiff/A 31621-2024 georefererad karta.tif", "A 31621-2024")</f>
        <v/>
      </c>
      <c r="AA19">
        <f>HYPERLINK("https://klasma.github.io/Logging_1496/klagomål/A 31621-2024 FSC-klagomål.docx", "A 31621-2024")</f>
        <v/>
      </c>
      <c r="AB19">
        <f>HYPERLINK("https://klasma.github.io/Logging_1496/klagomålsmail/A 31621-2024 FSC-klagomål mail.docx", "A 31621-2024")</f>
        <v/>
      </c>
      <c r="AC19">
        <f>HYPERLINK("https://klasma.github.io/Logging_1496/tillsyn/A 31621-2024 tillsynsbegäran.docx", "A 31621-2024")</f>
        <v/>
      </c>
      <c r="AD19">
        <f>HYPERLINK("https://klasma.github.io/Logging_1496/tillsynsmail/A 31621-2024 tillsynsbegäran mail.docx", "A 31621-2024")</f>
        <v/>
      </c>
    </row>
    <row r="20" ht="15" customHeight="1">
      <c r="A20" t="inlineStr">
        <is>
          <t>A 29335-2025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45824</v>
      </c>
      <c r="E20" s="1" t="n">
        <v>46224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0.7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Svinrot
Fläcknycklar
Lopplummer (aggregat)</t>
        </is>
      </c>
      <c r="W20">
        <f>HYPERLINK("https://klasma.github.io/Logging_1496/artfynd/A 29335-2025 artfynd.xlsx", "A 29335-2025")</f>
        <v/>
      </c>
      <c r="X20">
        <f>HYPERLINK("https://klasma.github.io/Logging_1496/kartor/A 29335-2025 karta.png", "A 29335-2025")</f>
        <v/>
      </c>
      <c r="Y20">
        <f>HYPERLINK("https://klasma.github.io/Logging_1496/kartor_geotiff/A 29335-2025 georefererad karta.tif", "A 29335-2025")</f>
        <v/>
      </c>
      <c r="AA20">
        <f>HYPERLINK("https://klasma.github.io/Logging_1496/klagomål/A 29335-2025 FSC-klagomål.docx", "A 29335-2025")</f>
        <v/>
      </c>
      <c r="AB20">
        <f>HYPERLINK("https://klasma.github.io/Logging_1496/klagomålsmail/A 29335-2025 FSC-klagomål mail.docx", "A 29335-2025")</f>
        <v/>
      </c>
      <c r="AC20">
        <f>HYPERLINK("https://klasma.github.io/Logging_1496/tillsyn/A 29335-2025 tillsynsbegäran.docx", "A 29335-2025")</f>
        <v/>
      </c>
      <c r="AD20">
        <f>HYPERLINK("https://klasma.github.io/Logging_1496/tillsynsmail/A 29335-2025 tillsynsbegäran mail.docx", "A 29335-2025")</f>
        <v/>
      </c>
    </row>
    <row r="21" ht="15" customHeight="1">
      <c r="A21" t="inlineStr">
        <is>
          <t>A 100-2023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44928</v>
      </c>
      <c r="E21" s="1" t="n">
        <v>46224</v>
      </c>
      <c r="F21" t="inlineStr">
        <is>
          <t>VÄSTRA GÖTALANDS LÄN</t>
        </is>
      </c>
      <c r="G21" t="inlineStr">
        <is>
          <t>SKÖVDE</t>
        </is>
      </c>
      <c r="H21" t="inlineStr">
        <is>
          <t>Kommuner</t>
        </is>
      </c>
      <c r="I21" t="n">
        <v>1.4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Borsttåg
Ängsstarr
Purpurknipprot</t>
        </is>
      </c>
      <c r="W21">
        <f>HYPERLINK("https://klasma.github.io/Logging_1496/artfynd/A 100-2023 artfynd.xlsx", "A 100-2023")</f>
        <v/>
      </c>
      <c r="X21">
        <f>HYPERLINK("https://klasma.github.io/Logging_1496/kartor/A 100-2023 karta.png", "A 100-2023")</f>
        <v/>
      </c>
      <c r="Y21">
        <f>HYPERLINK("https://klasma.github.io/Logging_1496/kartor_geotiff/A 100-2023 georefererad karta.tif", "A 100-2023")</f>
        <v/>
      </c>
      <c r="AA21">
        <f>HYPERLINK("https://klasma.github.io/Logging_1496/klagomål/A 100-2023 FSC-klagomål.docx", "A 100-2023")</f>
        <v/>
      </c>
      <c r="AB21">
        <f>HYPERLINK("https://klasma.github.io/Logging_1496/klagomålsmail/A 100-2023 FSC-klagomål mail.docx", "A 100-2023")</f>
        <v/>
      </c>
      <c r="AC21">
        <f>HYPERLINK("https://klasma.github.io/Logging_1496/tillsyn/A 100-2023 tillsynsbegäran.docx", "A 100-2023")</f>
        <v/>
      </c>
      <c r="AD21">
        <f>HYPERLINK("https://klasma.github.io/Logging_1496/tillsynsmail/A 100-2023 tillsynsbegäran mail.docx", "A 100-2023")</f>
        <v/>
      </c>
    </row>
    <row r="22" ht="15" customHeight="1">
      <c r="A22" t="inlineStr">
        <is>
          <t>A 2579-2023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46224</v>
      </c>
      <c r="F22" t="inlineStr">
        <is>
          <t>VÄSTRA GÖTALANDS LÄN</t>
        </is>
      </c>
      <c r="G22" t="inlineStr">
        <is>
          <t>SKÖVDE</t>
        </is>
      </c>
      <c r="I22" t="n">
        <v>5.3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2</v>
      </c>
      <c r="V22" s="2" t="inlineStr">
        <is>
          <t>Skogsknipprot
Svart trolldruva
Fläcknycklar</t>
        </is>
      </c>
      <c r="W22">
        <f>HYPERLINK("https://klasma.github.io/Logging_1496/artfynd/A 2579-2023 artfynd.xlsx", "A 2579-2023")</f>
        <v/>
      </c>
      <c r="X22">
        <f>HYPERLINK("https://klasma.github.io/Logging_1496/kartor/A 2579-2023 karta.png", "A 2579-2023")</f>
        <v/>
      </c>
      <c r="Y22">
        <f>HYPERLINK("https://klasma.github.io/Logging_1496/kartor_geotiff/A 2579-2023 georefererad karta.tif", "A 2579-2023")</f>
        <v/>
      </c>
      <c r="AA22">
        <f>HYPERLINK("https://klasma.github.io/Logging_1496/klagomål/A 2579-2023 FSC-klagomål.docx", "A 2579-2023")</f>
        <v/>
      </c>
      <c r="AB22">
        <f>HYPERLINK("https://klasma.github.io/Logging_1496/klagomålsmail/A 2579-2023 FSC-klagomål mail.docx", "A 2579-2023")</f>
        <v/>
      </c>
      <c r="AC22">
        <f>HYPERLINK("https://klasma.github.io/Logging_1496/tillsyn/A 2579-2023 tillsynsbegäran.docx", "A 2579-2023")</f>
        <v/>
      </c>
      <c r="AD22">
        <f>HYPERLINK("https://klasma.github.io/Logging_1496/tillsynsmail/A 2579-2023 tillsynsbegäran mail.docx", "A 2579-2023")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46224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46224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36627-2022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44804</v>
      </c>
      <c r="E25" s="1" t="n">
        <v>46224</v>
      </c>
      <c r="F25" t="inlineStr">
        <is>
          <t>VÄSTRA GÖTALANDS LÄN</t>
        </is>
      </c>
      <c r="G25" t="inlineStr">
        <is>
          <t>SKÖVDE</t>
        </is>
      </c>
      <c r="H25" t="inlineStr">
        <is>
          <t>Kommuner</t>
        </is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1</v>
      </c>
      <c r="V25" s="2" t="inlineStr">
        <is>
          <t>Skogsalm
Myskbock
Kråka</t>
        </is>
      </c>
      <c r="W25">
        <f>HYPERLINK("https://klasma.github.io/Logging_1496/artfynd/A 36627-2022 artfynd.xlsx", "A 36627-2022")</f>
        <v/>
      </c>
      <c r="X25">
        <f>HYPERLINK("https://klasma.github.io/Logging_1496/kartor/A 36627-2022 karta.png", "A 36627-2022")</f>
        <v/>
      </c>
      <c r="Y25">
        <f>HYPERLINK("https://klasma.github.io/Logging_1496/kartor_geotiff/A 36627-2022 georefererad karta.tif", "A 36627-2022")</f>
        <v/>
      </c>
      <c r="AA25">
        <f>HYPERLINK("https://klasma.github.io/Logging_1496/klagomål/A 36627-2022 FSC-klagomål.docx", "A 36627-2022")</f>
        <v/>
      </c>
      <c r="AB25">
        <f>HYPERLINK("https://klasma.github.io/Logging_1496/klagomålsmail/A 36627-2022 FSC-klagomål mail.docx", "A 36627-2022")</f>
        <v/>
      </c>
      <c r="AC25">
        <f>HYPERLINK("https://klasma.github.io/Logging_1496/tillsyn/A 36627-2022 tillsynsbegäran.docx", "A 36627-2022")</f>
        <v/>
      </c>
      <c r="AD25">
        <f>HYPERLINK("https://klasma.github.io/Logging_1496/tillsynsmail/A 36627-2022 tillsynsbegäran mail.docx", "A 36627-2022")</f>
        <v/>
      </c>
    </row>
    <row r="26" ht="15" customHeight="1">
      <c r="A26" t="inlineStr">
        <is>
          <t>A 39092-2022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44817</v>
      </c>
      <c r="E26" s="1" t="n">
        <v>46224</v>
      </c>
      <c r="F26" t="inlineStr">
        <is>
          <t>VÄSTRA GÖTALANDS LÄN</t>
        </is>
      </c>
      <c r="G26" t="inlineStr">
        <is>
          <t>SKÖVDE</t>
        </is>
      </c>
      <c r="I26" t="n">
        <v>3.1</v>
      </c>
      <c r="J26" t="n">
        <v>0</v>
      </c>
      <c r="K26" t="n">
        <v>1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Ask
Sårläka
Strutbräken</t>
        </is>
      </c>
      <c r="W26">
        <f>HYPERLINK("https://klasma.github.io/Logging_1496/artfynd/A 39092-2022 artfynd.xlsx", "A 39092-2022")</f>
        <v/>
      </c>
      <c r="X26">
        <f>HYPERLINK("https://klasma.github.io/Logging_1496/kartor/A 39092-2022 karta.png", "A 39092-2022")</f>
        <v/>
      </c>
      <c r="Y26">
        <f>HYPERLINK("https://klasma.github.io/Logging_1496/kartor_geotiff/A 39092-2022 georefererad karta.tif", "A 39092-2022")</f>
        <v/>
      </c>
      <c r="AA26">
        <f>HYPERLINK("https://klasma.github.io/Logging_1496/klagomål/A 39092-2022 FSC-klagomål.docx", "A 39092-2022")</f>
        <v/>
      </c>
      <c r="AB26">
        <f>HYPERLINK("https://klasma.github.io/Logging_1496/klagomålsmail/A 39092-2022 FSC-klagomål mail.docx", "A 39092-2022")</f>
        <v/>
      </c>
      <c r="AC26">
        <f>HYPERLINK("https://klasma.github.io/Logging_1496/tillsyn/A 39092-2022 tillsynsbegäran.docx", "A 39092-2022")</f>
        <v/>
      </c>
      <c r="AD26">
        <f>HYPERLINK("https://klasma.github.io/Logging_1496/tillsynsmail/A 39092-2022 tillsynsbegäran mail.docx", "A 39092-2022")</f>
        <v/>
      </c>
    </row>
    <row r="27" ht="15" customHeight="1">
      <c r="A27" t="inlineStr">
        <is>
          <t>A 43859-2022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44837</v>
      </c>
      <c r="E27" s="1" t="n">
        <v>46224</v>
      </c>
      <c r="F27" t="inlineStr">
        <is>
          <t>VÄSTRA GÖTALANDS LÄN</t>
        </is>
      </c>
      <c r="G27" t="inlineStr">
        <is>
          <t>SKÖVDE</t>
        </is>
      </c>
      <c r="I27" t="n">
        <v>1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Gullklöver
Strandlummer
Mattlummer</t>
        </is>
      </c>
      <c r="W27">
        <f>HYPERLINK("https://klasma.github.io/Logging_1496/artfynd/A 43859-2022 artfynd.xlsx", "A 43859-2022")</f>
        <v/>
      </c>
      <c r="X27">
        <f>HYPERLINK("https://klasma.github.io/Logging_1496/kartor/A 43859-2022 karta.png", "A 43859-2022")</f>
        <v/>
      </c>
      <c r="Y27">
        <f>HYPERLINK("https://klasma.github.io/Logging_1496/kartor_geotiff/A 43859-2022 georefererad karta.tif", "A 43859-2022")</f>
        <v/>
      </c>
      <c r="AA27">
        <f>HYPERLINK("https://klasma.github.io/Logging_1496/klagomål/A 43859-2022 FSC-klagomål.docx", "A 43859-2022")</f>
        <v/>
      </c>
      <c r="AB27">
        <f>HYPERLINK("https://klasma.github.io/Logging_1496/klagomålsmail/A 43859-2022 FSC-klagomål mail.docx", "A 43859-2022")</f>
        <v/>
      </c>
      <c r="AC27">
        <f>HYPERLINK("https://klasma.github.io/Logging_1496/tillsyn/A 43859-2022 tillsynsbegäran.docx", "A 43859-2022")</f>
        <v/>
      </c>
      <c r="AD27">
        <f>HYPERLINK("https://klasma.github.io/Logging_1496/tillsynsmail/A 43859-2022 tillsynsbegäran mail.docx", "A 43859-2022")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46224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14964-2025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45743</v>
      </c>
      <c r="E29" s="1" t="n">
        <v>46224</v>
      </c>
      <c r="F29" t="inlineStr">
        <is>
          <t>VÄSTRA GÖTALANDS LÄN</t>
        </is>
      </c>
      <c r="G29" t="inlineStr">
        <is>
          <t>SKÖVDE</t>
        </is>
      </c>
      <c r="I29" t="n">
        <v>1.8</v>
      </c>
      <c r="J29" t="n">
        <v>0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Skogsalm
Gullpudra</t>
        </is>
      </c>
      <c r="W29">
        <f>HYPERLINK("https://klasma.github.io/Logging_1496/artfynd/A 14964-2025 artfynd.xlsx", "A 14964-2025")</f>
        <v/>
      </c>
      <c r="X29">
        <f>HYPERLINK("https://klasma.github.io/Logging_1496/kartor/A 14964-2025 karta.png", "A 14964-2025")</f>
        <v/>
      </c>
      <c r="Y29">
        <f>HYPERLINK("https://klasma.github.io/Logging_1496/kartor_geotiff/A 14964-2025 georefererad karta.tif", "A 14964-2025")</f>
        <v/>
      </c>
      <c r="AA29">
        <f>HYPERLINK("https://klasma.github.io/Logging_1496/klagomål/A 14964-2025 FSC-klagomål.docx", "A 14964-2025")</f>
        <v/>
      </c>
      <c r="AB29">
        <f>HYPERLINK("https://klasma.github.io/Logging_1496/klagomålsmail/A 14964-2025 FSC-klagomål mail.docx", "A 14964-2025")</f>
        <v/>
      </c>
      <c r="AC29">
        <f>HYPERLINK("https://klasma.github.io/Logging_1496/tillsyn/A 14964-2025 tillsynsbegäran.docx", "A 14964-2025")</f>
        <v/>
      </c>
      <c r="AD29">
        <f>HYPERLINK("https://klasma.github.io/Logging_1496/tillsynsmail/A 14964-2025 tillsynsbegäran mail.docx", "A 14964-2025")</f>
        <v/>
      </c>
    </row>
    <row r="30" ht="15" customHeight="1">
      <c r="A30" t="inlineStr">
        <is>
          <t>A 27109-2024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45471</v>
      </c>
      <c r="E30" s="1" t="n">
        <v>46224</v>
      </c>
      <c r="F30" t="inlineStr">
        <is>
          <t>VÄSTRA GÖTALANDS LÄN</t>
        </is>
      </c>
      <c r="G30" t="inlineStr">
        <is>
          <t>SKÖVDE</t>
        </is>
      </c>
      <c r="I30" t="n">
        <v>2.7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Backstarr
Jungfrulin</t>
        </is>
      </c>
      <c r="W30">
        <f>HYPERLINK("https://klasma.github.io/Logging_1496/artfynd/A 27109-2024 artfynd.xlsx", "A 27109-2024")</f>
        <v/>
      </c>
      <c r="X30">
        <f>HYPERLINK("https://klasma.github.io/Logging_1496/kartor/A 27109-2024 karta.png", "A 27109-2024")</f>
        <v/>
      </c>
      <c r="Y30">
        <f>HYPERLINK("https://klasma.github.io/Logging_1496/kartor_geotiff/A 27109-2024 georefererad karta.tif", "A 27109-2024")</f>
        <v/>
      </c>
      <c r="AA30">
        <f>HYPERLINK("https://klasma.github.io/Logging_1496/klagomål/A 27109-2024 FSC-klagomål.docx", "A 27109-2024")</f>
        <v/>
      </c>
      <c r="AB30">
        <f>HYPERLINK("https://klasma.github.io/Logging_1496/klagomålsmail/A 27109-2024 FSC-klagomål mail.docx", "A 27109-2024")</f>
        <v/>
      </c>
      <c r="AC30">
        <f>HYPERLINK("https://klasma.github.io/Logging_1496/tillsyn/A 27109-2024 tillsynsbegäran.docx", "A 27109-2024")</f>
        <v/>
      </c>
      <c r="AD30">
        <f>HYPERLINK("https://klasma.github.io/Logging_1496/tillsynsmail/A 27109-2024 tillsynsbegäran mail.docx", "A 27109-2024")</f>
        <v/>
      </c>
    </row>
    <row r="31" ht="15" customHeight="1">
      <c r="A31" t="inlineStr">
        <is>
          <t>A 25093-2025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45800</v>
      </c>
      <c r="E31" s="1" t="n">
        <v>46224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2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0</v>
      </c>
      <c r="V31" s="2" t="inlineStr">
        <is>
          <t>Ask
Skogsalm</t>
        </is>
      </c>
      <c r="W31">
        <f>HYPERLINK("https://klasma.github.io/Logging_1496/artfynd/A 25093-2025 artfynd.xlsx", "A 25093-2025")</f>
        <v/>
      </c>
      <c r="X31">
        <f>HYPERLINK("https://klasma.github.io/Logging_1496/kartor/A 25093-2025 karta.png", "A 25093-2025")</f>
        <v/>
      </c>
      <c r="Y31">
        <f>HYPERLINK("https://klasma.github.io/Logging_1496/kartor_geotiff/A 25093-2025 georefererad karta.tif", "A 25093-2025")</f>
        <v/>
      </c>
      <c r="AA31">
        <f>HYPERLINK("https://klasma.github.io/Logging_1496/klagomål/A 25093-2025 FSC-klagomål.docx", "A 25093-2025")</f>
        <v/>
      </c>
      <c r="AB31">
        <f>HYPERLINK("https://klasma.github.io/Logging_1496/klagomålsmail/A 25093-2025 FSC-klagomål mail.docx", "A 25093-2025")</f>
        <v/>
      </c>
      <c r="AC31">
        <f>HYPERLINK("https://klasma.github.io/Logging_1496/tillsyn/A 25093-2025 tillsynsbegäran.docx", "A 25093-2025")</f>
        <v/>
      </c>
      <c r="AD31">
        <f>HYPERLINK("https://klasma.github.io/Logging_1496/tillsynsmail/A 25093-2025 tillsynsbegäran mail.docx", "A 25093-2025")</f>
        <v/>
      </c>
    </row>
    <row r="32" ht="15" customHeight="1">
      <c r="A32" t="inlineStr">
        <is>
          <t>A 42017-2025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45903</v>
      </c>
      <c r="E32" s="1" t="n">
        <v>46224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Borsttåg
Mattlummer</t>
        </is>
      </c>
      <c r="W32">
        <f>HYPERLINK("https://klasma.github.io/Logging_1496/artfynd/A 42017-2025 artfynd.xlsx", "A 42017-2025")</f>
        <v/>
      </c>
      <c r="X32">
        <f>HYPERLINK("https://klasma.github.io/Logging_1496/kartor/A 42017-2025 karta.png", "A 42017-2025")</f>
        <v/>
      </c>
      <c r="Y32">
        <f>HYPERLINK("https://klasma.github.io/Logging_1496/kartor_geotiff/A 42017-2025 georefererad karta.tif", "A 42017-2025")</f>
        <v/>
      </c>
      <c r="AA32">
        <f>HYPERLINK("https://klasma.github.io/Logging_1496/klagomål/A 42017-2025 FSC-klagomål.docx", "A 42017-2025")</f>
        <v/>
      </c>
      <c r="AB32">
        <f>HYPERLINK("https://klasma.github.io/Logging_1496/klagomålsmail/A 42017-2025 FSC-klagomål mail.docx", "A 42017-2025")</f>
        <v/>
      </c>
      <c r="AC32">
        <f>HYPERLINK("https://klasma.github.io/Logging_1496/tillsyn/A 42017-2025 tillsynsbegäran.docx", "A 42017-2025")</f>
        <v/>
      </c>
      <c r="AD32">
        <f>HYPERLINK("https://klasma.github.io/Logging_1496/tillsynsmail/A 42017-2025 tillsynsbegäran mail.docx", "A 42017-2025")</f>
        <v/>
      </c>
    </row>
    <row r="33" ht="15" customHeight="1">
      <c r="A33" t="inlineStr">
        <is>
          <t>A 55642-2025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45972</v>
      </c>
      <c r="E33" s="1" t="n">
        <v>46224</v>
      </c>
      <c r="F33" t="inlineStr">
        <is>
          <t>VÄSTRA GÖTALANDS LÄN</t>
        </is>
      </c>
      <c r="G33" t="inlineStr">
        <is>
          <t>SKÖVDE</t>
        </is>
      </c>
      <c r="I33" t="n">
        <v>1.6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Fläcknycklar
Grönvit nattviol</t>
        </is>
      </c>
      <c r="W33">
        <f>HYPERLINK("https://klasma.github.io/Logging_1496/artfynd/A 55642-2025 artfynd.xlsx", "A 55642-2025")</f>
        <v/>
      </c>
      <c r="X33">
        <f>HYPERLINK("https://klasma.github.io/Logging_1496/kartor/A 55642-2025 karta.png", "A 55642-2025")</f>
        <v/>
      </c>
      <c r="Y33">
        <f>HYPERLINK("https://klasma.github.io/Logging_1496/kartor_geotiff/A 55642-2025 georefererad karta.tif", "A 55642-2025")</f>
        <v/>
      </c>
      <c r="AA33">
        <f>HYPERLINK("https://klasma.github.io/Logging_1496/klagomål/A 55642-2025 FSC-klagomål.docx", "A 55642-2025")</f>
        <v/>
      </c>
      <c r="AB33">
        <f>HYPERLINK("https://klasma.github.io/Logging_1496/klagomålsmail/A 55642-2025 FSC-klagomål mail.docx", "A 55642-2025")</f>
        <v/>
      </c>
      <c r="AC33">
        <f>HYPERLINK("https://klasma.github.io/Logging_1496/tillsyn/A 55642-2025 tillsynsbegäran.docx", "A 55642-2025")</f>
        <v/>
      </c>
      <c r="AD33">
        <f>HYPERLINK("https://klasma.github.io/Logging_1496/tillsynsmail/A 55642-2025 tillsynsbegäran mail.docx", "A 55642-2025")</f>
        <v/>
      </c>
    </row>
    <row r="34" ht="15" customHeight="1">
      <c r="A34" t="inlineStr">
        <is>
          <t>A 58467-2024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45635</v>
      </c>
      <c r="E34" s="1" t="n">
        <v>46224</v>
      </c>
      <c r="F34" t="inlineStr">
        <is>
          <t>VÄSTRA GÖTALANDS LÄN</t>
        </is>
      </c>
      <c r="G34" t="inlineStr">
        <is>
          <t>SKÖVDE</t>
        </is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3</v>
      </c>
      <c r="V34" s="2" t="inlineStr">
        <is>
          <t>Sommarfibbla
Mattlummer</t>
        </is>
      </c>
      <c r="W34">
        <f>HYPERLINK("https://klasma.github.io/Logging_1496/artfynd/A 58467-2024 artfynd.xlsx", "A 58467-2024")</f>
        <v/>
      </c>
      <c r="X34">
        <f>HYPERLINK("https://klasma.github.io/Logging_1496/kartor/A 58467-2024 karta.png", "A 58467-2024")</f>
        <v/>
      </c>
      <c r="Y34">
        <f>HYPERLINK("https://klasma.github.io/Logging_1496/kartor_geotiff/A 58467-2024 georefererad karta.tif", "A 58467-2024")</f>
        <v/>
      </c>
      <c r="AA34">
        <f>HYPERLINK("https://klasma.github.io/Logging_1496/klagomål/A 58467-2024 FSC-klagomål.docx", "A 58467-2024")</f>
        <v/>
      </c>
      <c r="AB34">
        <f>HYPERLINK("https://klasma.github.io/Logging_1496/klagomålsmail/A 58467-2024 FSC-klagomål mail.docx", "A 58467-2024")</f>
        <v/>
      </c>
      <c r="AC34">
        <f>HYPERLINK("https://klasma.github.io/Logging_1496/tillsyn/A 58467-2024 tillsynsbegäran.docx", "A 58467-2024")</f>
        <v/>
      </c>
      <c r="AD34">
        <f>HYPERLINK("https://klasma.github.io/Logging_1496/tillsynsmail/A 58467-2024 tillsynsbegäran mail.docx", "A 58467-2024")</f>
        <v/>
      </c>
    </row>
    <row r="35" ht="15" customHeight="1">
      <c r="A35" t="inlineStr">
        <is>
          <t>A 24996-2025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45799</v>
      </c>
      <c r="E35" s="1" t="n">
        <v>46224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1.8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Granbronssopp
Fjällig taggsvamp s.str.</t>
        </is>
      </c>
      <c r="W35">
        <f>HYPERLINK("https://klasma.github.io/Logging_1496/artfynd/A 24996-2025 artfynd.xlsx", "A 24996-2025")</f>
        <v/>
      </c>
      <c r="X35">
        <f>HYPERLINK("https://klasma.github.io/Logging_1496/kartor/A 24996-2025 karta.png", "A 24996-2025")</f>
        <v/>
      </c>
      <c r="Y35">
        <f>HYPERLINK("https://klasma.github.io/Logging_1496/kartor_geotiff/A 24996-2025 georefererad karta.tif", "A 24996-2025")</f>
        <v/>
      </c>
      <c r="AA35">
        <f>HYPERLINK("https://klasma.github.io/Logging_1496/klagomål/A 24996-2025 FSC-klagomål.docx", "A 24996-2025")</f>
        <v/>
      </c>
      <c r="AB35">
        <f>HYPERLINK("https://klasma.github.io/Logging_1496/klagomålsmail/A 24996-2025 FSC-klagomål mail.docx", "A 24996-2025")</f>
        <v/>
      </c>
      <c r="AC35">
        <f>HYPERLINK("https://klasma.github.io/Logging_1496/tillsyn/A 24996-2025 tillsynsbegäran.docx", "A 24996-2025")</f>
        <v/>
      </c>
      <c r="AD35">
        <f>HYPERLINK("https://klasma.github.io/Logging_1496/tillsynsmail/A 24996-2025 tillsynsbegäran mail.docx", "A 24996-2025")</f>
        <v/>
      </c>
    </row>
    <row r="36" ht="15" customHeight="1">
      <c r="A36" t="inlineStr">
        <is>
          <t>A 10610-2023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44988</v>
      </c>
      <c r="E36" s="1" t="n">
        <v>46224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Vanlig groda
Revlummer</t>
        </is>
      </c>
      <c r="W36">
        <f>HYPERLINK("https://klasma.github.io/Logging_1496/artfynd/A 10610-2023 artfynd.xlsx", "A 10610-2023")</f>
        <v/>
      </c>
      <c r="X36">
        <f>HYPERLINK("https://klasma.github.io/Logging_1496/kartor/A 10610-2023 karta.png", "A 10610-2023")</f>
        <v/>
      </c>
      <c r="Y36">
        <f>HYPERLINK("https://klasma.github.io/Logging_1496/kartor_geotiff/A 10610-2023 georefererad karta.tif", "A 10610-2023")</f>
        <v/>
      </c>
      <c r="AA36">
        <f>HYPERLINK("https://klasma.github.io/Logging_1496/klagomål/A 10610-2023 FSC-klagomål.docx", "A 10610-2023")</f>
        <v/>
      </c>
      <c r="AB36">
        <f>HYPERLINK("https://klasma.github.io/Logging_1496/klagomålsmail/A 10610-2023 FSC-klagomål mail.docx", "A 10610-2023")</f>
        <v/>
      </c>
      <c r="AC36">
        <f>HYPERLINK("https://klasma.github.io/Logging_1496/tillsyn/A 10610-2023 tillsynsbegäran.docx", "A 10610-2023")</f>
        <v/>
      </c>
      <c r="AD36">
        <f>HYPERLINK("https://klasma.github.io/Logging_1496/tillsynsmail/A 10610-2023 tillsynsbegäran mail.docx", "A 10610-2023")</f>
        <v/>
      </c>
    </row>
    <row r="37" ht="15" customHeight="1">
      <c r="A37" t="inlineStr">
        <is>
          <t>A 26907-2026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46185</v>
      </c>
      <c r="E37" s="1" t="n">
        <v>46224</v>
      </c>
      <c r="F37" t="inlineStr">
        <is>
          <t>VÄSTRA GÖTALANDS LÄN</t>
        </is>
      </c>
      <c r="G37" t="inlineStr">
        <is>
          <t>SKÖVDE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2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3</v>
      </c>
      <c r="U37" t="n">
        <v>0</v>
      </c>
      <c r="V37" s="2" t="inlineStr">
        <is>
          <t>Ask
Skogsalm</t>
        </is>
      </c>
      <c r="W37">
        <f>HYPERLINK("https://klasma.github.io/Logging_1496/artfynd/A 26907-2026 artfynd.xlsx", "A 26907-2026")</f>
        <v/>
      </c>
      <c r="X37">
        <f>HYPERLINK("https://klasma.github.io/Logging_1496/kartor/A 26907-2026 karta.png", "A 26907-2026")</f>
        <v/>
      </c>
      <c r="Y37">
        <f>HYPERLINK("https://klasma.github.io/Logging_1496/kartor_geotiff/A 26907-2026 georefererad karta.tif", "A 26907-2026")</f>
        <v/>
      </c>
      <c r="AA37">
        <f>HYPERLINK("https://klasma.github.io/Logging_1496/klagomål/A 26907-2026 FSC-klagomål.docx", "A 26907-2026")</f>
        <v/>
      </c>
      <c r="AB37">
        <f>HYPERLINK("https://klasma.github.io/Logging_1496/klagomålsmail/A 26907-2026 FSC-klagomål mail.docx", "A 26907-2026")</f>
        <v/>
      </c>
      <c r="AC37">
        <f>HYPERLINK("https://klasma.github.io/Logging_1496/tillsyn/A 26907-2026 tillsynsbegäran.docx", "A 26907-2026")</f>
        <v/>
      </c>
      <c r="AD37">
        <f>HYPERLINK("https://klasma.github.io/Logging_1496/tillsynsmail/A 26907-2026 tillsynsbegäran mail.docx", "A 26907-2026")</f>
        <v/>
      </c>
    </row>
    <row r="38" ht="15" customHeight="1">
      <c r="A38" t="inlineStr">
        <is>
          <t>A 60172-2021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46224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Skogsbräsma
Fläcknycklar</t>
        </is>
      </c>
      <c r="W38">
        <f>HYPERLINK("https://klasma.github.io/Logging_1496/artfynd/A 60172-2021 artfynd.xlsx", "A 60172-2021")</f>
        <v/>
      </c>
      <c r="X38">
        <f>HYPERLINK("https://klasma.github.io/Logging_1496/kartor/A 60172-2021 karta.png", "A 60172-2021")</f>
        <v/>
      </c>
      <c r="Y38">
        <f>HYPERLINK("https://klasma.github.io/Logging_1496/kartor_geotiff/A 60172-2021 georefererad karta.tif", "A 60172-2021")</f>
        <v/>
      </c>
      <c r="AA38">
        <f>HYPERLINK("https://klasma.github.io/Logging_1496/klagomål/A 60172-2021 FSC-klagomål.docx", "A 60172-2021")</f>
        <v/>
      </c>
      <c r="AB38">
        <f>HYPERLINK("https://klasma.github.io/Logging_1496/klagomålsmail/A 60172-2021 FSC-klagomål mail.docx", "A 60172-2021")</f>
        <v/>
      </c>
      <c r="AC38">
        <f>HYPERLINK("https://klasma.github.io/Logging_1496/tillsyn/A 60172-2021 tillsynsbegäran.docx", "A 60172-2021")</f>
        <v/>
      </c>
      <c r="AD38">
        <f>HYPERLINK("https://klasma.github.io/Logging_1496/tillsynsmail/A 60172-2021 tillsynsbegäran mail.docx", "A 60172-2021")</f>
        <v/>
      </c>
    </row>
    <row r="39" ht="15" customHeight="1">
      <c r="A39" t="inlineStr">
        <is>
          <t>A 29222-2022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46224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1.6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Lundbräsma
Strutbräken</t>
        </is>
      </c>
      <c r="W39">
        <f>HYPERLINK("https://klasma.github.io/Logging_1496/artfynd/A 29222-2022 artfynd.xlsx", "A 29222-2022")</f>
        <v/>
      </c>
      <c r="X39">
        <f>HYPERLINK("https://klasma.github.io/Logging_1496/kartor/A 29222-2022 karta.png", "A 29222-2022")</f>
        <v/>
      </c>
      <c r="Y39">
        <f>HYPERLINK("https://klasma.github.io/Logging_1496/kartor_geotiff/A 29222-2022 georefererad karta.tif", "A 29222-2022")</f>
        <v/>
      </c>
      <c r="AA39">
        <f>HYPERLINK("https://klasma.github.io/Logging_1496/klagomål/A 29222-2022 FSC-klagomål.docx", "A 29222-2022")</f>
        <v/>
      </c>
      <c r="AB39">
        <f>HYPERLINK("https://klasma.github.io/Logging_1496/klagomålsmail/A 29222-2022 FSC-klagomål mail.docx", "A 29222-2022")</f>
        <v/>
      </c>
      <c r="AC39">
        <f>HYPERLINK("https://klasma.github.io/Logging_1496/tillsyn/A 29222-2022 tillsynsbegäran.docx", "A 29222-2022")</f>
        <v/>
      </c>
      <c r="AD39">
        <f>HYPERLINK("https://klasma.github.io/Logging_1496/tillsynsmail/A 29222-2022 tillsynsbegäran mail.docx", "A 29222-2022")</f>
        <v/>
      </c>
    </row>
    <row r="40" ht="15" customHeight="1">
      <c r="A40" t="inlineStr">
        <is>
          <t>A 24383-2025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45797</v>
      </c>
      <c r="E40" s="1" t="n">
        <v>46224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0.8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Mindre hackspett
Åkergroda</t>
        </is>
      </c>
      <c r="W40">
        <f>HYPERLINK("https://klasma.github.io/Logging_1496/artfynd/A 24383-2025 artfynd.xlsx", "A 24383-2025")</f>
        <v/>
      </c>
      <c r="X40">
        <f>HYPERLINK("https://klasma.github.io/Logging_1496/kartor/A 24383-2025 karta.png", "A 24383-2025")</f>
        <v/>
      </c>
      <c r="Y40">
        <f>HYPERLINK("https://klasma.github.io/Logging_1496/kartor_geotiff/A 24383-2025 georefererad karta.tif", "A 24383-2025")</f>
        <v/>
      </c>
      <c r="AA40">
        <f>HYPERLINK("https://klasma.github.io/Logging_1496/klagomål/A 24383-2025 FSC-klagomål.docx", "A 24383-2025")</f>
        <v/>
      </c>
      <c r="AB40">
        <f>HYPERLINK("https://klasma.github.io/Logging_1496/klagomålsmail/A 24383-2025 FSC-klagomål mail.docx", "A 24383-2025")</f>
        <v/>
      </c>
      <c r="AC40">
        <f>HYPERLINK("https://klasma.github.io/Logging_1496/tillsyn/A 24383-2025 tillsynsbegäran.docx", "A 24383-2025")</f>
        <v/>
      </c>
      <c r="AD40">
        <f>HYPERLINK("https://klasma.github.io/Logging_1496/tillsynsmail/A 24383-2025 tillsynsbegäran mail.docx", "A 24383-2025")</f>
        <v/>
      </c>
      <c r="AE40">
        <f>HYPERLINK("https://klasma.github.io/Logging_1496/fåglar/A 24383-2025 prioriterade fågelarter.docx", "A 24383-2025")</f>
        <v/>
      </c>
    </row>
    <row r="41" ht="15" customHeight="1">
      <c r="A41" t="inlineStr">
        <is>
          <t>A 22268-2025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45785</v>
      </c>
      <c r="E41" s="1" t="n">
        <v>46224</v>
      </c>
      <c r="F41" t="inlineStr">
        <is>
          <t>VÄSTRA GÖTALANDS LÄN</t>
        </is>
      </c>
      <c r="G41" t="inlineStr">
        <is>
          <t>SKÖVDE</t>
        </is>
      </c>
      <c r="I41" t="n">
        <v>1.4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4</v>
      </c>
      <c r="U41" t="n">
        <v>2</v>
      </c>
      <c r="V41" s="2" t="inlineStr">
        <is>
          <t>Knärot
Motaggsvamp</t>
        </is>
      </c>
      <c r="W41">
        <f>HYPERLINK("https://klasma.github.io/Logging_1496/artfynd/A 22268-2025 artfynd.xlsx", "A 22268-2025")</f>
        <v/>
      </c>
      <c r="X41">
        <f>HYPERLINK("https://klasma.github.io/Logging_1496/kartor/A 22268-2025 karta.png", "A 22268-2025")</f>
        <v/>
      </c>
      <c r="Y41">
        <f>HYPERLINK("https://klasma.github.io/Logging_1496/kartor_geotiff/A 22268-2025 georefererad karta.tif", "A 22268-2025")</f>
        <v/>
      </c>
      <c r="Z41">
        <f>HYPERLINK("https://klasma.github.io/Logging_1496/knärot/A 22268-2025 karta knärot.png", "A 22268-2025")</f>
        <v/>
      </c>
      <c r="AA41">
        <f>HYPERLINK("https://klasma.github.io/Logging_1496/klagomål/A 22268-2025 FSC-klagomål.docx", "A 22268-2025")</f>
        <v/>
      </c>
      <c r="AB41">
        <f>HYPERLINK("https://klasma.github.io/Logging_1496/klagomålsmail/A 22268-2025 FSC-klagomål mail.docx", "A 22268-2025")</f>
        <v/>
      </c>
      <c r="AC41">
        <f>HYPERLINK("https://klasma.github.io/Logging_1496/tillsyn/A 22268-2025 tillsynsbegäran.docx", "A 22268-2025")</f>
        <v/>
      </c>
      <c r="AD41">
        <f>HYPERLINK("https://klasma.github.io/Logging_1496/tillsynsmail/A 22268-2025 tillsynsbegäran mail.docx", "A 22268-2025")</f>
        <v/>
      </c>
    </row>
    <row r="42" ht="15" customHeight="1">
      <c r="A42" t="inlineStr">
        <is>
          <t>A 39787-2021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44417</v>
      </c>
      <c r="E42" s="1" t="n">
        <v>46224</v>
      </c>
      <c r="F42" t="inlineStr">
        <is>
          <t>VÄSTRA GÖTALANDS LÄN</t>
        </is>
      </c>
      <c r="G42" t="inlineStr">
        <is>
          <t>SKÖVDE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Gullpudra</t>
        </is>
      </c>
      <c r="W42">
        <f>HYPERLINK("https://klasma.github.io/Logging_1496/artfynd/A 39787-2021 artfynd.xlsx", "A 39787-2021")</f>
        <v/>
      </c>
      <c r="X42">
        <f>HYPERLINK("https://klasma.github.io/Logging_1496/kartor/A 39787-2021 karta.png", "A 39787-2021")</f>
        <v/>
      </c>
      <c r="Y42">
        <f>HYPERLINK("https://klasma.github.io/Logging_1496/kartor_geotiff/A 39787-2021 georefererad karta.tif", "A 39787-2021")</f>
        <v/>
      </c>
      <c r="AA42">
        <f>HYPERLINK("https://klasma.github.io/Logging_1496/klagomål/A 39787-2021 FSC-klagomål.docx", "A 39787-2021")</f>
        <v/>
      </c>
      <c r="AB42">
        <f>HYPERLINK("https://klasma.github.io/Logging_1496/klagomålsmail/A 39787-2021 FSC-klagomål mail.docx", "A 39787-2021")</f>
        <v/>
      </c>
      <c r="AC42">
        <f>HYPERLINK("https://klasma.github.io/Logging_1496/tillsyn/A 39787-2021 tillsynsbegäran.docx", "A 39787-2021")</f>
        <v/>
      </c>
      <c r="AD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44834</v>
      </c>
      <c r="E43" s="1" t="n">
        <v>46224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groda</t>
        </is>
      </c>
      <c r="W43">
        <f>HYPERLINK("https://klasma.github.io/Logging_1496/artfynd/A 43568-2022 artfynd.xlsx", "A 43568-2022")</f>
        <v/>
      </c>
      <c r="X43">
        <f>HYPERLINK("https://klasma.github.io/Logging_1496/kartor/A 43568-2022 karta.png", "A 43568-2022")</f>
        <v/>
      </c>
      <c r="Y43">
        <f>HYPERLINK("https://klasma.github.io/Logging_1496/kartor_geotiff/A 43568-2022 georefererad karta.tif", "A 43568-2022")</f>
        <v/>
      </c>
      <c r="AA43">
        <f>HYPERLINK("https://klasma.github.io/Logging_1496/klagomål/A 43568-2022 FSC-klagomål.docx", "A 43568-2022")</f>
        <v/>
      </c>
      <c r="AB43">
        <f>HYPERLINK("https://klasma.github.io/Logging_1496/klagomålsmail/A 43568-2022 FSC-klagomål mail.docx", "A 43568-2022")</f>
        <v/>
      </c>
      <c r="AC43">
        <f>HYPERLINK("https://klasma.github.io/Logging_1496/tillsyn/A 43568-2022 tillsynsbegäran.docx", "A 43568-2022")</f>
        <v/>
      </c>
      <c r="AD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44475</v>
      </c>
      <c r="E44" s="1" t="n">
        <v>46224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Skogsalm</t>
        </is>
      </c>
      <c r="W44">
        <f>HYPERLINK("https://klasma.github.io/Logging_1496/artfynd/A 55575-2021 artfynd.xlsx", "A 55575-2021")</f>
        <v/>
      </c>
      <c r="X44">
        <f>HYPERLINK("https://klasma.github.io/Logging_1496/kartor/A 55575-2021 karta.png", "A 55575-2021")</f>
        <v/>
      </c>
      <c r="Y44">
        <f>HYPERLINK("https://klasma.github.io/Logging_1496/kartor_geotiff/A 55575-2021 georefererad karta.tif", "A 55575-2021")</f>
        <v/>
      </c>
      <c r="AA44">
        <f>HYPERLINK("https://klasma.github.io/Logging_1496/klagomål/A 55575-2021 FSC-klagomål.docx", "A 55575-2021")</f>
        <v/>
      </c>
      <c r="AB44">
        <f>HYPERLINK("https://klasma.github.io/Logging_1496/klagomålsmail/A 55575-2021 FSC-klagomål mail.docx", "A 55575-2021")</f>
        <v/>
      </c>
      <c r="AC44">
        <f>HYPERLINK("https://klasma.github.io/Logging_1496/tillsyn/A 55575-2021 tillsynsbegäran.docx", "A 55575-2021")</f>
        <v/>
      </c>
      <c r="AD44">
        <f>HYPERLINK("https://klasma.github.io/Logging_1496/tillsynsmail/A 55575-2021 tillsynsbegäran mail.docx", "A 55575-2021")</f>
        <v/>
      </c>
    </row>
    <row r="45" ht="15" customHeight="1">
      <c r="A45" t="inlineStr">
        <is>
          <t>A 10602-2023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44988</v>
      </c>
      <c r="E45" s="1" t="n">
        <v>46224</v>
      </c>
      <c r="F45" t="inlineStr">
        <is>
          <t>VÄSTRA GÖTALANDS LÄN</t>
        </is>
      </c>
      <c r="G45" t="inlineStr">
        <is>
          <t>SKÖVDE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HYPERLINK("https://klasma.github.io/Logging_1496/artfynd/A 10602-2023 artfynd.xlsx", "A 10602-2023")</f>
        <v/>
      </c>
      <c r="X45">
        <f>HYPERLINK("https://klasma.github.io/Logging_1496/kartor/A 10602-2023 karta.png", "A 10602-2023")</f>
        <v/>
      </c>
      <c r="Y45">
        <f>HYPERLINK("https://klasma.github.io/Logging_1496/kartor_geotiff/A 10602-2023 georefererad karta.tif", "A 10602-2023")</f>
        <v/>
      </c>
      <c r="AA45">
        <f>HYPERLINK("https://klasma.github.io/Logging_1496/klagomål/A 10602-2023 FSC-klagomål.docx", "A 10602-2023")</f>
        <v/>
      </c>
      <c r="AB45">
        <f>HYPERLINK("https://klasma.github.io/Logging_1496/klagomålsmail/A 10602-2023 FSC-klagomål mail.docx", "A 10602-2023")</f>
        <v/>
      </c>
      <c r="AC45">
        <f>HYPERLINK("https://klasma.github.io/Logging_1496/tillsyn/A 10602-2023 tillsynsbegäran.docx", "A 10602-2023")</f>
        <v/>
      </c>
      <c r="AD45">
        <f>HYPERLINK("https://klasma.github.io/Logging_1496/tillsynsmail/A 10602-2023 tillsynsbegäran mail.docx", "A 10602-2023")</f>
        <v/>
      </c>
    </row>
    <row r="46" ht="15" customHeight="1">
      <c r="A46" t="inlineStr">
        <is>
          <t>A 15417-2023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45019</v>
      </c>
      <c r="E46" s="1" t="n">
        <v>46224</v>
      </c>
      <c r="F46" t="inlineStr">
        <is>
          <t>VÄSTRA GÖTALANDS LÄN</t>
        </is>
      </c>
      <c r="G46" t="inlineStr">
        <is>
          <t>SKÖVDE</t>
        </is>
      </c>
      <c r="I46" t="n">
        <v>2.6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Gullpudra</t>
        </is>
      </c>
      <c r="W46">
        <f>HYPERLINK("https://klasma.github.io/Logging_1496/artfynd/A 15417-2023 artfynd.xlsx", "A 15417-2023")</f>
        <v/>
      </c>
      <c r="X46">
        <f>HYPERLINK("https://klasma.github.io/Logging_1496/kartor/A 15417-2023 karta.png", "A 15417-2023")</f>
        <v/>
      </c>
      <c r="Y46">
        <f>HYPERLINK("https://klasma.github.io/Logging_1496/kartor_geotiff/A 15417-2023 georefererad karta.tif", "A 15417-2023")</f>
        <v/>
      </c>
      <c r="AA46">
        <f>HYPERLINK("https://klasma.github.io/Logging_1496/klagomål/A 15417-2023 FSC-klagomål.docx", "A 15417-2023")</f>
        <v/>
      </c>
      <c r="AB46">
        <f>HYPERLINK("https://klasma.github.io/Logging_1496/klagomålsmail/A 15417-2023 FSC-klagomål mail.docx", "A 15417-2023")</f>
        <v/>
      </c>
      <c r="AC46">
        <f>HYPERLINK("https://klasma.github.io/Logging_1496/tillsyn/A 15417-2023 tillsynsbegäran.docx", "A 15417-2023")</f>
        <v/>
      </c>
      <c r="AD46">
        <f>HYPERLINK("https://klasma.github.io/Logging_1496/tillsynsmail/A 15417-2023 tillsynsbegäran mail.docx", "A 15417-2023")</f>
        <v/>
      </c>
    </row>
    <row r="47" ht="15" customHeight="1">
      <c r="A47" t="inlineStr">
        <is>
          <t>A 35919-2023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45148</v>
      </c>
      <c r="E47" s="1" t="n">
        <v>46224</v>
      </c>
      <c r="F47" t="inlineStr">
        <is>
          <t>VÄSTRA GÖTALANDS LÄN</t>
        </is>
      </c>
      <c r="G47" t="inlineStr">
        <is>
          <t>SKÖVDE</t>
        </is>
      </c>
      <c r="I47" t="n">
        <v>6.6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Svinrot</t>
        </is>
      </c>
      <c r="W47">
        <f>HYPERLINK("https://klasma.github.io/Logging_1496/artfynd/A 35919-2023 artfynd.xlsx", "A 35919-2023")</f>
        <v/>
      </c>
      <c r="X47">
        <f>HYPERLINK("https://klasma.github.io/Logging_1496/kartor/A 35919-2023 karta.png", "A 35919-2023")</f>
        <v/>
      </c>
      <c r="Y47">
        <f>HYPERLINK("https://klasma.github.io/Logging_1496/kartor_geotiff/A 35919-2023 georefererad karta.tif", "A 35919-2023")</f>
        <v/>
      </c>
      <c r="AA47">
        <f>HYPERLINK("https://klasma.github.io/Logging_1496/klagomål/A 35919-2023 FSC-klagomål.docx", "A 35919-2023")</f>
        <v/>
      </c>
      <c r="AB47">
        <f>HYPERLINK("https://klasma.github.io/Logging_1496/klagomålsmail/A 35919-2023 FSC-klagomål mail.docx", "A 35919-2023")</f>
        <v/>
      </c>
      <c r="AC47">
        <f>HYPERLINK("https://klasma.github.io/Logging_1496/tillsyn/A 35919-2023 tillsynsbegäran.docx", "A 35919-2023")</f>
        <v/>
      </c>
      <c r="AD47">
        <f>HYPERLINK("https://klasma.github.io/Logging_1496/tillsynsmail/A 35919-2023 tillsynsbegäran mail.docx", "A 35919-2023")</f>
        <v/>
      </c>
    </row>
    <row r="48" ht="15" customHeight="1">
      <c r="A48" t="inlineStr">
        <is>
          <t>A 17070-2025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45755</v>
      </c>
      <c r="E48" s="1" t="n">
        <v>46224</v>
      </c>
      <c r="F48" t="inlineStr">
        <is>
          <t>VÄSTRA GÖTALANDS LÄN</t>
        </is>
      </c>
      <c r="G48" t="inlineStr">
        <is>
          <t>SKÖVDE</t>
        </is>
      </c>
      <c r="H48" t="inlineStr">
        <is>
          <t>Kommuner</t>
        </is>
      </c>
      <c r="I48" t="n">
        <v>0.9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Korallrot</t>
        </is>
      </c>
      <c r="W48">
        <f>HYPERLINK("https://klasma.github.io/Logging_1496/artfynd/A 17070-2025 artfynd.xlsx", "A 17070-2025")</f>
        <v/>
      </c>
      <c r="X48">
        <f>HYPERLINK("https://klasma.github.io/Logging_1496/kartor/A 17070-2025 karta.png", "A 17070-2025")</f>
        <v/>
      </c>
      <c r="Y48">
        <f>HYPERLINK("https://klasma.github.io/Logging_1496/kartor_geotiff/A 17070-2025 georefererad karta.tif", "A 17070-2025")</f>
        <v/>
      </c>
      <c r="AA48">
        <f>HYPERLINK("https://klasma.github.io/Logging_1496/klagomål/A 17070-2025 FSC-klagomål.docx", "A 17070-2025")</f>
        <v/>
      </c>
      <c r="AB48">
        <f>HYPERLINK("https://klasma.github.io/Logging_1496/klagomålsmail/A 17070-2025 FSC-klagomål mail.docx", "A 17070-2025")</f>
        <v/>
      </c>
      <c r="AC48">
        <f>HYPERLINK("https://klasma.github.io/Logging_1496/tillsyn/A 17070-2025 tillsynsbegäran.docx", "A 17070-2025")</f>
        <v/>
      </c>
      <c r="AD48">
        <f>HYPERLINK("https://klasma.github.io/Logging_1496/tillsynsmail/A 17070-2025 tillsynsbegäran mail.docx", "A 17070-2025")</f>
        <v/>
      </c>
    </row>
    <row r="49" ht="15" customHeight="1">
      <c r="A49" t="inlineStr">
        <is>
          <t>A 26712-2025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45810</v>
      </c>
      <c r="E49" s="1" t="n">
        <v>46224</v>
      </c>
      <c r="F49" t="inlineStr">
        <is>
          <t>VÄSTRA GÖTALANDS LÄN</t>
        </is>
      </c>
      <c r="G49" t="inlineStr">
        <is>
          <t>SKÖVDE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Grönvit nattviol</t>
        </is>
      </c>
      <c r="W49">
        <f>HYPERLINK("https://klasma.github.io/Logging_1496/artfynd/A 26712-2025 artfynd.xlsx", "A 26712-2025")</f>
        <v/>
      </c>
      <c r="X49">
        <f>HYPERLINK("https://klasma.github.io/Logging_1496/kartor/A 26712-2025 karta.png", "A 26712-2025")</f>
        <v/>
      </c>
      <c r="Y49">
        <f>HYPERLINK("https://klasma.github.io/Logging_1496/kartor_geotiff/A 26712-2025 georefererad karta.tif", "A 26712-2025")</f>
        <v/>
      </c>
      <c r="AA49">
        <f>HYPERLINK("https://klasma.github.io/Logging_1496/klagomål/A 26712-2025 FSC-klagomål.docx", "A 26712-2025")</f>
        <v/>
      </c>
      <c r="AB49">
        <f>HYPERLINK("https://klasma.github.io/Logging_1496/klagomålsmail/A 26712-2025 FSC-klagomål mail.docx", "A 26712-2025")</f>
        <v/>
      </c>
      <c r="AC49">
        <f>HYPERLINK("https://klasma.github.io/Logging_1496/tillsyn/A 26712-2025 tillsynsbegäran.docx", "A 26712-2025")</f>
        <v/>
      </c>
      <c r="AD49">
        <f>HYPERLINK("https://klasma.github.io/Logging_1496/tillsynsmail/A 26712-2025 tillsynsbegäran mail.docx", "A 26712-2025")</f>
        <v/>
      </c>
    </row>
    <row r="50" ht="15" customHeight="1">
      <c r="A50" t="inlineStr">
        <is>
          <t>A 47869-2025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45932</v>
      </c>
      <c r="E50" s="1" t="n">
        <v>46224</v>
      </c>
      <c r="F50" t="inlineStr">
        <is>
          <t>VÄSTRA GÖTALANDS LÄN</t>
        </is>
      </c>
      <c r="G50" t="inlineStr">
        <is>
          <t>SKÖVDE</t>
        </is>
      </c>
      <c r="I50" t="n">
        <v>1.6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Backmåra</t>
        </is>
      </c>
      <c r="W50">
        <f>HYPERLINK("https://klasma.github.io/Logging_1496/artfynd/A 47869-2025 artfynd.xlsx", "A 47869-2025")</f>
        <v/>
      </c>
      <c r="X50">
        <f>HYPERLINK("https://klasma.github.io/Logging_1496/kartor/A 47869-2025 karta.png", "A 47869-2025")</f>
        <v/>
      </c>
      <c r="Y50">
        <f>HYPERLINK("https://klasma.github.io/Logging_1496/kartor_geotiff/A 47869-2025 georefererad karta.tif", "A 47869-2025")</f>
        <v/>
      </c>
      <c r="AA50">
        <f>HYPERLINK("https://klasma.github.io/Logging_1496/klagomål/A 47869-2025 FSC-klagomål.docx", "A 47869-2025")</f>
        <v/>
      </c>
      <c r="AB50">
        <f>HYPERLINK("https://klasma.github.io/Logging_1496/klagomålsmail/A 47869-2025 FSC-klagomål mail.docx", "A 47869-2025")</f>
        <v/>
      </c>
      <c r="AC50">
        <f>HYPERLINK("https://klasma.github.io/Logging_1496/tillsyn/A 47869-2025 tillsynsbegäran.docx", "A 47869-2025")</f>
        <v/>
      </c>
      <c r="AD50">
        <f>HYPERLINK("https://klasma.github.io/Logging_1496/tillsynsmail/A 47869-2025 tillsynsbegäran mail.docx", "A 47869-2025")</f>
        <v/>
      </c>
    </row>
    <row r="51" ht="15" customHeight="1">
      <c r="A51" t="inlineStr">
        <is>
          <t>A 4464-2026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46045</v>
      </c>
      <c r="E51" s="1" t="n">
        <v>46224</v>
      </c>
      <c r="F51" t="inlineStr">
        <is>
          <t>VÄSTRA GÖTALANDS LÄN</t>
        </is>
      </c>
      <c r="G51" t="inlineStr">
        <is>
          <t>SKÖVDE</t>
        </is>
      </c>
      <c r="I51" t="n">
        <v>0.7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Myskmadra</t>
        </is>
      </c>
      <c r="W51">
        <f>HYPERLINK("https://klasma.github.io/Logging_1496/artfynd/A 4464-2026 artfynd.xlsx", "A 4464-2026")</f>
        <v/>
      </c>
      <c r="X51">
        <f>HYPERLINK("https://klasma.github.io/Logging_1496/kartor/A 4464-2026 karta.png", "A 4464-2026")</f>
        <v/>
      </c>
      <c r="Y51">
        <f>HYPERLINK("https://klasma.github.io/Logging_1496/kartor_geotiff/A 4464-2026 georefererad karta.tif", "A 4464-2026")</f>
        <v/>
      </c>
      <c r="AA51">
        <f>HYPERLINK("https://klasma.github.io/Logging_1496/klagomål/A 4464-2026 FSC-klagomål.docx", "A 4464-2026")</f>
        <v/>
      </c>
      <c r="AB51">
        <f>HYPERLINK("https://klasma.github.io/Logging_1496/klagomålsmail/A 4464-2026 FSC-klagomål mail.docx", "A 4464-2026")</f>
        <v/>
      </c>
      <c r="AC51">
        <f>HYPERLINK("https://klasma.github.io/Logging_1496/tillsyn/A 4464-2026 tillsynsbegäran.docx", "A 4464-2026")</f>
        <v/>
      </c>
      <c r="AD51">
        <f>HYPERLINK("https://klasma.github.io/Logging_1496/tillsynsmail/A 4464-2026 tillsynsbegäran mail.docx", "A 4464-2026")</f>
        <v/>
      </c>
    </row>
    <row r="52" ht="15" customHeight="1">
      <c r="A52" t="inlineStr">
        <is>
          <t>A 6093-2026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46052</v>
      </c>
      <c r="E52" s="1" t="n">
        <v>46224</v>
      </c>
      <c r="F52" t="inlineStr">
        <is>
          <t>VÄSTRA GÖTALANDS LÄN</t>
        </is>
      </c>
      <c r="G52" t="inlineStr">
        <is>
          <t>SKÖVDE</t>
        </is>
      </c>
      <c r="I52" t="n">
        <v>5.8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Svinrot</t>
        </is>
      </c>
      <c r="W52">
        <f>HYPERLINK("https://klasma.github.io/Logging_1496/artfynd/A 6093-2026 artfynd.xlsx", "A 6093-2026")</f>
        <v/>
      </c>
      <c r="X52">
        <f>HYPERLINK("https://klasma.github.io/Logging_1496/kartor/A 6093-2026 karta.png", "A 6093-2026")</f>
        <v/>
      </c>
      <c r="Y52">
        <f>HYPERLINK("https://klasma.github.io/Logging_1496/kartor_geotiff/A 6093-2026 georefererad karta.tif", "A 6093-2026")</f>
        <v/>
      </c>
      <c r="AA52">
        <f>HYPERLINK("https://klasma.github.io/Logging_1496/klagomål/A 6093-2026 FSC-klagomål.docx", "A 6093-2026")</f>
        <v/>
      </c>
      <c r="AB52">
        <f>HYPERLINK("https://klasma.github.io/Logging_1496/klagomålsmail/A 6093-2026 FSC-klagomål mail.docx", "A 6093-2026")</f>
        <v/>
      </c>
      <c r="AC52">
        <f>HYPERLINK("https://klasma.github.io/Logging_1496/tillsyn/A 6093-2026 tillsynsbegäran.docx", "A 6093-2026")</f>
        <v/>
      </c>
      <c r="AD52">
        <f>HYPERLINK("https://klasma.github.io/Logging_1496/tillsynsmail/A 6093-2026 tillsynsbegäran mail.docx", "A 6093-2026")</f>
        <v/>
      </c>
    </row>
    <row r="53" ht="15" customHeight="1">
      <c r="A53" t="inlineStr">
        <is>
          <t>A 47898-2023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45204</v>
      </c>
      <c r="E53" s="1" t="n">
        <v>46224</v>
      </c>
      <c r="F53" t="inlineStr">
        <is>
          <t>VÄSTRA GÖTALANDS LÄN</t>
        </is>
      </c>
      <c r="G53" t="inlineStr">
        <is>
          <t>SKÖVDE</t>
        </is>
      </c>
      <c r="I53" t="n">
        <v>9.5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Karminticka</t>
        </is>
      </c>
      <c r="W53">
        <f>HYPERLINK("https://klasma.github.io/Logging_1496/artfynd/A 47898-2023 artfynd.xlsx", "A 47898-2023")</f>
        <v/>
      </c>
      <c r="X53">
        <f>HYPERLINK("https://klasma.github.io/Logging_1496/kartor/A 47898-2023 karta.png", "A 47898-2023")</f>
        <v/>
      </c>
      <c r="Y53">
        <f>HYPERLINK("https://klasma.github.io/Logging_1496/kartor_geotiff/A 47898-2023 georefererad karta.tif", "A 47898-2023")</f>
        <v/>
      </c>
      <c r="AA53">
        <f>HYPERLINK("https://klasma.github.io/Logging_1496/klagomål/A 47898-2023 FSC-klagomål.docx", "A 47898-2023")</f>
        <v/>
      </c>
      <c r="AB53">
        <f>HYPERLINK("https://klasma.github.io/Logging_1496/klagomålsmail/A 47898-2023 FSC-klagomål mail.docx", "A 47898-2023")</f>
        <v/>
      </c>
      <c r="AC53">
        <f>HYPERLINK("https://klasma.github.io/Logging_1496/tillsyn/A 47898-2023 tillsynsbegäran.docx", "A 47898-2023")</f>
        <v/>
      </c>
      <c r="AD53">
        <f>HYPERLINK("https://klasma.github.io/Logging_1496/tillsynsmail/A 47898-2023 tillsynsbegäran mail.docx", "A 47898-2023")</f>
        <v/>
      </c>
    </row>
    <row r="54" ht="15" customHeight="1">
      <c r="A54" t="inlineStr">
        <is>
          <t>A 61213-2024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45645</v>
      </c>
      <c r="E54" s="1" t="n">
        <v>46224</v>
      </c>
      <c r="F54" t="inlineStr">
        <is>
          <t>VÄSTRA GÖTALANDS LÄN</t>
        </is>
      </c>
      <c r="G54" t="inlineStr">
        <is>
          <t>SKÖVDE</t>
        </is>
      </c>
      <c r="I54" t="n">
        <v>2.5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Skogsbräsma</t>
        </is>
      </c>
      <c r="W54">
        <f>HYPERLINK("https://klasma.github.io/Logging_1496/artfynd/A 61213-2024 artfynd.xlsx", "A 61213-2024")</f>
        <v/>
      </c>
      <c r="X54">
        <f>HYPERLINK("https://klasma.github.io/Logging_1496/kartor/A 61213-2024 karta.png", "A 61213-2024")</f>
        <v/>
      </c>
      <c r="Y54">
        <f>HYPERLINK("https://klasma.github.io/Logging_1496/kartor_geotiff/A 61213-2024 georefererad karta.tif", "A 61213-2024")</f>
        <v/>
      </c>
      <c r="AA54">
        <f>HYPERLINK("https://klasma.github.io/Logging_1496/klagomål/A 61213-2024 FSC-klagomål.docx", "A 61213-2024")</f>
        <v/>
      </c>
      <c r="AB54">
        <f>HYPERLINK("https://klasma.github.io/Logging_1496/klagomålsmail/A 61213-2024 FSC-klagomål mail.docx", "A 61213-2024")</f>
        <v/>
      </c>
      <c r="AC54">
        <f>HYPERLINK("https://klasma.github.io/Logging_1496/tillsyn/A 61213-2024 tillsynsbegäran.docx", "A 61213-2024")</f>
        <v/>
      </c>
      <c r="AD54">
        <f>HYPERLINK("https://klasma.github.io/Logging_1496/tillsynsmail/A 61213-2024 tillsynsbegäran mail.docx", "A 61213-2024")</f>
        <v/>
      </c>
    </row>
    <row r="55" ht="15" customHeight="1">
      <c r="A55" t="inlineStr">
        <is>
          <t>A 42904-2023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45182</v>
      </c>
      <c r="E55" s="1" t="n">
        <v>46224</v>
      </c>
      <c r="F55" t="inlineStr">
        <is>
          <t>VÄSTRA GÖTALANDS LÄN</t>
        </is>
      </c>
      <c r="G55" t="inlineStr">
        <is>
          <t>SKÖVDE</t>
        </is>
      </c>
      <c r="H55" t="inlineStr">
        <is>
          <t>Kommuner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Grönvit nattviol</t>
        </is>
      </c>
      <c r="W55">
        <f>HYPERLINK("https://klasma.github.io/Logging_1496/artfynd/A 42904-2023 artfynd.xlsx", "A 42904-2023")</f>
        <v/>
      </c>
      <c r="X55">
        <f>HYPERLINK("https://klasma.github.io/Logging_1496/kartor/A 42904-2023 karta.png", "A 42904-2023")</f>
        <v/>
      </c>
      <c r="Y55">
        <f>HYPERLINK("https://klasma.github.io/Logging_1496/kartor_geotiff/A 42904-2023 georefererad karta.tif", "A 42904-2023")</f>
        <v/>
      </c>
      <c r="AA55">
        <f>HYPERLINK("https://klasma.github.io/Logging_1496/klagomål/A 42904-2023 FSC-klagomål.docx", "A 42904-2023")</f>
        <v/>
      </c>
      <c r="AB55">
        <f>HYPERLINK("https://klasma.github.io/Logging_1496/klagomålsmail/A 42904-2023 FSC-klagomål mail.docx", "A 42904-2023")</f>
        <v/>
      </c>
      <c r="AC55">
        <f>HYPERLINK("https://klasma.github.io/Logging_1496/tillsyn/A 42904-2023 tillsynsbegäran.docx", "A 42904-2023")</f>
        <v/>
      </c>
      <c r="AD55">
        <f>HYPERLINK("https://klasma.github.io/Logging_1496/tillsynsmail/A 42904-2023 tillsynsbegäran mail.docx", "A 42904-2023")</f>
        <v/>
      </c>
    </row>
    <row r="56" ht="15" customHeight="1">
      <c r="A56" t="inlineStr">
        <is>
          <t>A 52377-2023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45224</v>
      </c>
      <c r="E56" s="1" t="n">
        <v>46224</v>
      </c>
      <c r="F56" t="inlineStr">
        <is>
          <t>VÄSTRA GÖTALANDS LÄN</t>
        </is>
      </c>
      <c r="G56" t="inlineStr">
        <is>
          <t>SKÖVDE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2</v>
      </c>
      <c r="V56" s="2" t="inlineStr">
        <is>
          <t>Kransrams</t>
        </is>
      </c>
      <c r="W56">
        <f>HYPERLINK("https://klasma.github.io/Logging_1496/artfynd/A 52377-2023 artfynd.xlsx", "A 52377-2023")</f>
        <v/>
      </c>
      <c r="X56">
        <f>HYPERLINK("https://klasma.github.io/Logging_1496/kartor/A 52377-2023 karta.png", "A 52377-2023")</f>
        <v/>
      </c>
      <c r="Y56">
        <f>HYPERLINK("https://klasma.github.io/Logging_1496/kartor_geotiff/A 52377-2023 georefererad karta.tif", "A 52377-2023")</f>
        <v/>
      </c>
      <c r="AA56">
        <f>HYPERLINK("https://klasma.github.io/Logging_1496/klagomål/A 52377-2023 FSC-klagomål.docx", "A 52377-2023")</f>
        <v/>
      </c>
      <c r="AB56">
        <f>HYPERLINK("https://klasma.github.io/Logging_1496/klagomålsmail/A 52377-2023 FSC-klagomål mail.docx", "A 52377-2023")</f>
        <v/>
      </c>
      <c r="AC56">
        <f>HYPERLINK("https://klasma.github.io/Logging_1496/tillsyn/A 52377-2023 tillsynsbegäran.docx", "A 52377-2023")</f>
        <v/>
      </c>
      <c r="AD56">
        <f>HYPERLINK("https://klasma.github.io/Logging_1496/tillsynsmail/A 52377-2023 tillsynsbegäran mail.docx", "A 52377-2023")</f>
        <v/>
      </c>
    </row>
    <row r="57" ht="15" customHeight="1">
      <c r="A57" t="inlineStr">
        <is>
          <t>A 3951-2024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45322</v>
      </c>
      <c r="E57" s="1" t="n">
        <v>46224</v>
      </c>
      <c r="F57" t="inlineStr">
        <is>
          <t>VÄSTRA GÖTALANDS LÄN</t>
        </is>
      </c>
      <c r="G57" t="inlineStr">
        <is>
          <t>SKÖVDE</t>
        </is>
      </c>
      <c r="I57" t="n">
        <v>10.7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HYPERLINK("https://klasma.github.io/Logging_1496/artfynd/A 3951-2024 artfynd.xlsx", "A 3951-2024")</f>
        <v/>
      </c>
      <c r="X57">
        <f>HYPERLINK("https://klasma.github.io/Logging_1496/kartor/A 3951-2024 karta.png", "A 3951-2024")</f>
        <v/>
      </c>
      <c r="Y57">
        <f>HYPERLINK("https://klasma.github.io/Logging_1496/kartor_geotiff/A 3951-2024 georefererad karta.tif", "A 3951-2024")</f>
        <v/>
      </c>
      <c r="AA57">
        <f>HYPERLINK("https://klasma.github.io/Logging_1496/klagomål/A 3951-2024 FSC-klagomål.docx", "A 3951-2024")</f>
        <v/>
      </c>
      <c r="AB57">
        <f>HYPERLINK("https://klasma.github.io/Logging_1496/klagomålsmail/A 3951-2024 FSC-klagomål mail.docx", "A 3951-2024")</f>
        <v/>
      </c>
      <c r="AC57">
        <f>HYPERLINK("https://klasma.github.io/Logging_1496/tillsyn/A 3951-2024 tillsynsbegäran.docx", "A 3951-2024")</f>
        <v/>
      </c>
      <c r="AD57">
        <f>HYPERLINK("https://klasma.github.io/Logging_1496/tillsynsmail/A 3951-2024 tillsynsbegäran mail.docx", "A 3951-2024")</f>
        <v/>
      </c>
    </row>
    <row r="58" ht="15" customHeight="1">
      <c r="A58" t="inlineStr">
        <is>
          <t>A 26800-2026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46185</v>
      </c>
      <c r="E58" s="1" t="n">
        <v>46224</v>
      </c>
      <c r="F58" t="inlineStr">
        <is>
          <t>VÄSTRA GÖTALANDS LÄN</t>
        </is>
      </c>
      <c r="G58" t="inlineStr">
        <is>
          <t>SKÖVDE</t>
        </is>
      </c>
      <c r="I58" t="n">
        <v>1.1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Tibast</t>
        </is>
      </c>
      <c r="W58">
        <f>HYPERLINK("https://klasma.github.io/Logging_1496/artfynd/A 26800-2026 artfynd.xlsx", "A 26800-2026")</f>
        <v/>
      </c>
      <c r="X58">
        <f>HYPERLINK("https://klasma.github.io/Logging_1496/kartor/A 26800-2026 karta.png", "A 26800-2026")</f>
        <v/>
      </c>
      <c r="Y58">
        <f>HYPERLINK("https://klasma.github.io/Logging_1496/kartor_geotiff/A 26800-2026 georefererad karta.tif", "A 26800-2026")</f>
        <v/>
      </c>
      <c r="AA58">
        <f>HYPERLINK("https://klasma.github.io/Logging_1496/klagomål/A 26800-2026 FSC-klagomål.docx", "A 26800-2026")</f>
        <v/>
      </c>
      <c r="AB58">
        <f>HYPERLINK("https://klasma.github.io/Logging_1496/klagomålsmail/A 26800-2026 FSC-klagomål mail.docx", "A 26800-2026")</f>
        <v/>
      </c>
      <c r="AC58">
        <f>HYPERLINK("https://klasma.github.io/Logging_1496/tillsyn/A 26800-2026 tillsynsbegäran.docx", "A 26800-2026")</f>
        <v/>
      </c>
      <c r="AD58">
        <f>HYPERLINK("https://klasma.github.io/Logging_1496/tillsynsmail/A 26800-2026 tillsynsbegäran mail.docx", "A 26800-2026")</f>
        <v/>
      </c>
    </row>
    <row r="59" ht="15" customHeight="1">
      <c r="A59" t="inlineStr">
        <is>
          <t>A 29011-2023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45104</v>
      </c>
      <c r="E59" s="1" t="n">
        <v>46224</v>
      </c>
      <c r="F59" t="inlineStr">
        <is>
          <t>VÄSTRA GÖTALANDS LÄN</t>
        </is>
      </c>
      <c r="G59" t="inlineStr">
        <is>
          <t>SKÖVDE</t>
        </is>
      </c>
      <c r="H59" t="inlineStr">
        <is>
          <t>Kommuner</t>
        </is>
      </c>
      <c r="I59" t="n">
        <v>5.4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Skogsbräsma</t>
        </is>
      </c>
      <c r="W59">
        <f>HYPERLINK("https://klasma.github.io/Logging_1496/artfynd/A 29011-2023 artfynd.xlsx", "A 29011-2023")</f>
        <v/>
      </c>
      <c r="X59">
        <f>HYPERLINK("https://klasma.github.io/Logging_1496/kartor/A 29011-2023 karta.png", "A 29011-2023")</f>
        <v/>
      </c>
      <c r="Y59">
        <f>HYPERLINK("https://klasma.github.io/Logging_1496/kartor_geotiff/A 29011-2023 georefererad karta.tif", "A 29011-2023")</f>
        <v/>
      </c>
      <c r="AA59">
        <f>HYPERLINK("https://klasma.github.io/Logging_1496/klagomål/A 29011-2023 FSC-klagomål.docx", "A 29011-2023")</f>
        <v/>
      </c>
      <c r="AB59">
        <f>HYPERLINK("https://klasma.github.io/Logging_1496/klagomålsmail/A 29011-2023 FSC-klagomål mail.docx", "A 29011-2023")</f>
        <v/>
      </c>
      <c r="AC59">
        <f>HYPERLINK("https://klasma.github.io/Logging_1496/tillsyn/A 29011-2023 tillsynsbegäran.docx", "A 29011-2023")</f>
        <v/>
      </c>
      <c r="AD59">
        <f>HYPERLINK("https://klasma.github.io/Logging_1496/tillsynsmail/A 29011-2023 tillsynsbegäran mail.docx", "A 29011-2023")</f>
        <v/>
      </c>
    </row>
    <row r="60" ht="15" customHeight="1">
      <c r="A60" t="inlineStr">
        <is>
          <t>A 28717-2026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46198</v>
      </c>
      <c r="E60" s="1" t="n">
        <v>46224</v>
      </c>
      <c r="F60" t="inlineStr">
        <is>
          <t>VÄSTRA GÖTALANDS LÄN</t>
        </is>
      </c>
      <c r="G60" t="inlineStr">
        <is>
          <t>SKÖVDE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Ask</t>
        </is>
      </c>
      <c r="W60">
        <f>HYPERLINK("https://klasma.github.io/Logging_1496/artfynd/A 28717-2026 artfynd.xlsx", "A 28717-2026")</f>
        <v/>
      </c>
      <c r="X60">
        <f>HYPERLINK("https://klasma.github.io/Logging_1496/kartor/A 28717-2026 karta.png", "A 28717-2026")</f>
        <v/>
      </c>
      <c r="Y60">
        <f>HYPERLINK("https://klasma.github.io/Logging_1496/kartor_geotiff/A 28717-2026 georefererad karta.tif", "A 28717-2026")</f>
        <v/>
      </c>
      <c r="AA60">
        <f>HYPERLINK("https://klasma.github.io/Logging_1496/klagomål/A 28717-2026 FSC-klagomål.docx", "A 28717-2026")</f>
        <v/>
      </c>
      <c r="AB60">
        <f>HYPERLINK("https://klasma.github.io/Logging_1496/klagomålsmail/A 28717-2026 FSC-klagomål mail.docx", "A 28717-2026")</f>
        <v/>
      </c>
      <c r="AC60">
        <f>HYPERLINK("https://klasma.github.io/Logging_1496/tillsyn/A 28717-2026 tillsynsbegäran.docx", "A 28717-2026")</f>
        <v/>
      </c>
      <c r="AD60">
        <f>HYPERLINK("https://klasma.github.io/Logging_1496/tillsynsmail/A 28717-2026 tillsynsbegäran mail.docx", "A 28717-2026")</f>
        <v/>
      </c>
    </row>
    <row r="61" ht="15" customHeight="1">
      <c r="A61" t="inlineStr">
        <is>
          <t>A 24814-2026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46173</v>
      </c>
      <c r="E61" s="1" t="n">
        <v>46224</v>
      </c>
      <c r="F61" t="inlineStr">
        <is>
          <t>VÄSTRA GÖTALANDS LÄN</t>
        </is>
      </c>
      <c r="G61" t="inlineStr">
        <is>
          <t>SKÖVDE</t>
        </is>
      </c>
      <c r="I61" t="n">
        <v>6.6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Vedticka</t>
        </is>
      </c>
      <c r="W61">
        <f>HYPERLINK("https://klasma.github.io/Logging_1496/artfynd/A 24814-2026 artfynd.xlsx", "A 24814-2026")</f>
        <v/>
      </c>
      <c r="X61">
        <f>HYPERLINK("https://klasma.github.io/Logging_1496/kartor/A 24814-2026 karta.png", "A 24814-2026")</f>
        <v/>
      </c>
      <c r="Y61">
        <f>HYPERLINK("https://klasma.github.io/Logging_1496/kartor_geotiff/A 24814-2026 georefererad karta.tif", "A 24814-2026")</f>
        <v/>
      </c>
      <c r="AA61">
        <f>HYPERLINK("https://klasma.github.io/Logging_1496/klagomål/A 24814-2026 FSC-klagomål.docx", "A 24814-2026")</f>
        <v/>
      </c>
      <c r="AB61">
        <f>HYPERLINK("https://klasma.github.io/Logging_1496/klagomålsmail/A 24814-2026 FSC-klagomål mail.docx", "A 24814-2026")</f>
        <v/>
      </c>
      <c r="AC61">
        <f>HYPERLINK("https://klasma.github.io/Logging_1496/tillsyn/A 24814-2026 tillsynsbegäran.docx", "A 24814-2026")</f>
        <v/>
      </c>
      <c r="AD61">
        <f>HYPERLINK("https://klasma.github.io/Logging_1496/tillsynsmail/A 24814-2026 tillsynsbegäran mail.docx", "A 24814-2026")</f>
        <v/>
      </c>
    </row>
    <row r="62" ht="15" customHeight="1">
      <c r="A62" t="inlineStr">
        <is>
          <t>A 18132-2023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45040</v>
      </c>
      <c r="E62" s="1" t="n">
        <v>46224</v>
      </c>
      <c r="F62" t="inlineStr">
        <is>
          <t>VÄSTRA GÖTALANDS LÄN</t>
        </is>
      </c>
      <c r="G62" t="inlineStr">
        <is>
          <t>SKÖVDE</t>
        </is>
      </c>
      <c r="I62" t="n">
        <v>0.9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Hässleklocka</t>
        </is>
      </c>
      <c r="W62">
        <f>HYPERLINK("https://klasma.github.io/Logging_1496/artfynd/A 18132-2023 artfynd.xlsx", "A 18132-2023")</f>
        <v/>
      </c>
      <c r="X62">
        <f>HYPERLINK("https://klasma.github.io/Logging_1496/kartor/A 18132-2023 karta.png", "A 18132-2023")</f>
        <v/>
      </c>
      <c r="Y62">
        <f>HYPERLINK("https://klasma.github.io/Logging_1496/kartor_geotiff/A 18132-2023 georefererad karta.tif", "A 18132-2023")</f>
        <v/>
      </c>
      <c r="AA62">
        <f>HYPERLINK("https://klasma.github.io/Logging_1496/klagomål/A 18132-2023 FSC-klagomål.docx", "A 18132-2023")</f>
        <v/>
      </c>
      <c r="AB62">
        <f>HYPERLINK("https://klasma.github.io/Logging_1496/klagomålsmail/A 18132-2023 FSC-klagomål mail.docx", "A 18132-2023")</f>
        <v/>
      </c>
      <c r="AC62">
        <f>HYPERLINK("https://klasma.github.io/Logging_1496/tillsyn/A 18132-2023 tillsynsbegäran.docx", "A 18132-2023")</f>
        <v/>
      </c>
      <c r="AD62">
        <f>HYPERLINK("https://klasma.github.io/Logging_1496/tillsynsmail/A 18132-2023 tillsynsbegäran mail.docx", "A 18132-2023")</f>
        <v/>
      </c>
    </row>
    <row r="63" ht="15" customHeight="1">
      <c r="A63" t="inlineStr">
        <is>
          <t>A 17452-2023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45036</v>
      </c>
      <c r="E63" s="1" t="n">
        <v>46224</v>
      </c>
      <c r="F63" t="inlineStr">
        <is>
          <t>VÄSTRA GÖTALANDS LÄN</t>
        </is>
      </c>
      <c r="G63" t="inlineStr">
        <is>
          <t>SKÖVDE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Grönvit nattviol</t>
        </is>
      </c>
      <c r="W63">
        <f>HYPERLINK("https://klasma.github.io/Logging_1496/artfynd/A 17452-2023 artfynd.xlsx", "A 17452-2023")</f>
        <v/>
      </c>
      <c r="X63">
        <f>HYPERLINK("https://klasma.github.io/Logging_1496/kartor/A 17452-2023 karta.png", "A 17452-2023")</f>
        <v/>
      </c>
      <c r="Y63">
        <f>HYPERLINK("https://klasma.github.io/Logging_1496/kartor_geotiff/A 17452-2023 georefererad karta.tif", "A 17452-2023")</f>
        <v/>
      </c>
      <c r="AA63">
        <f>HYPERLINK("https://klasma.github.io/Logging_1496/klagomål/A 17452-2023 FSC-klagomål.docx", "A 17452-2023")</f>
        <v/>
      </c>
      <c r="AB63">
        <f>HYPERLINK("https://klasma.github.io/Logging_1496/klagomålsmail/A 17452-2023 FSC-klagomål mail.docx", "A 17452-2023")</f>
        <v/>
      </c>
      <c r="AC63">
        <f>HYPERLINK("https://klasma.github.io/Logging_1496/tillsyn/A 17452-2023 tillsynsbegäran.docx", "A 17452-2023")</f>
        <v/>
      </c>
      <c r="AD63">
        <f>HYPERLINK("https://klasma.github.io/Logging_1496/tillsynsmail/A 17452-2023 tillsynsbegäran mail.docx", "A 17452-2023")</f>
        <v/>
      </c>
    </row>
    <row r="64" ht="15" customHeight="1">
      <c r="A64" t="inlineStr">
        <is>
          <t>A 3948-2024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45322</v>
      </c>
      <c r="E64" s="1" t="n">
        <v>46224</v>
      </c>
      <c r="F64" t="inlineStr">
        <is>
          <t>VÄSTRA GÖTALANDS LÄN</t>
        </is>
      </c>
      <c r="G64" t="inlineStr">
        <is>
          <t>SKÖVDE</t>
        </is>
      </c>
      <c r="I64" t="n">
        <v>6.6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HYPERLINK("https://klasma.github.io/Logging_1496/artfynd/A 3948-2024 artfynd.xlsx", "A 3948-2024")</f>
        <v/>
      </c>
      <c r="X64">
        <f>HYPERLINK("https://klasma.github.io/Logging_1496/kartor/A 3948-2024 karta.png", "A 3948-2024")</f>
        <v/>
      </c>
      <c r="Y64">
        <f>HYPERLINK("https://klasma.github.io/Logging_1496/kartor_geotiff/A 3948-2024 georefererad karta.tif", "A 3948-2024")</f>
        <v/>
      </c>
      <c r="AA64">
        <f>HYPERLINK("https://klasma.github.io/Logging_1496/klagomål/A 3948-2024 FSC-klagomål.docx", "A 3948-2024")</f>
        <v/>
      </c>
      <c r="AB64">
        <f>HYPERLINK("https://klasma.github.io/Logging_1496/klagomålsmail/A 3948-2024 FSC-klagomål mail.docx", "A 3948-2024")</f>
        <v/>
      </c>
      <c r="AC64">
        <f>HYPERLINK("https://klasma.github.io/Logging_1496/tillsyn/A 3948-2024 tillsynsbegäran.docx", "A 3948-2024")</f>
        <v/>
      </c>
      <c r="AD64">
        <f>HYPERLINK("https://klasma.github.io/Logging_1496/tillsynsmail/A 3948-2024 tillsynsbegäran mail.docx", "A 3948-2024")</f>
        <v/>
      </c>
    </row>
    <row r="65" ht="15" customHeight="1">
      <c r="A65" t="inlineStr">
        <is>
          <t>S 809-2023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44986</v>
      </c>
      <c r="E65" s="1" t="n">
        <v>46224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Kyrkan</t>
        </is>
      </c>
      <c r="I65" t="n">
        <v>40.9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1</v>
      </c>
      <c r="V65" s="2" t="inlineStr">
        <is>
          <t>Motaggsvamp</t>
        </is>
      </c>
      <c r="W65">
        <f>HYPERLINK("https://klasma.github.io/Logging_1496/artfynd/S 809-2023 artfynd.xlsx", "S 809-2023")</f>
        <v/>
      </c>
      <c r="X65">
        <f>HYPERLINK("https://klasma.github.io/Logging_1496/kartor/S 809-2023 karta.png", "S 809-2023")</f>
        <v/>
      </c>
      <c r="Y65">
        <f>HYPERLINK("https://klasma.github.io/Logging_1496/kartor_geotiff/S 809-2023 georefererad karta.tif", "S 809-2023")</f>
        <v/>
      </c>
      <c r="AA65">
        <f>HYPERLINK("https://klasma.github.io/Logging_1496/klagomål/S 809-2023 FSC-klagomål.docx", "S 809-2023")</f>
        <v/>
      </c>
      <c r="AB65">
        <f>HYPERLINK("https://klasma.github.io/Logging_1496/klagomålsmail/S 809-2023 FSC-klagomål mail.docx", "S 809-2023")</f>
        <v/>
      </c>
      <c r="AC65">
        <f>HYPERLINK("https://klasma.github.io/Logging_1496/tillsyn/S 809-2023 tillsynsbegäran.docx", "S 809-2023")</f>
        <v/>
      </c>
      <c r="AD65">
        <f>HYPERLINK("https://klasma.github.io/Logging_1496/tillsynsmail/S 809-2023 tillsynsbegäran mail.docx", "S 809-2023")</f>
        <v/>
      </c>
    </row>
    <row r="66" ht="15" customHeight="1">
      <c r="A66" t="inlineStr">
        <is>
          <t>A 41155-2021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44421</v>
      </c>
      <c r="E66" s="1" t="n">
        <v>46224</v>
      </c>
      <c r="F66" t="inlineStr">
        <is>
          <t>VÄSTRA GÖTALANDS LÄN</t>
        </is>
      </c>
      <c r="G66" t="inlineStr">
        <is>
          <t>SKÖVDE</t>
        </is>
      </c>
      <c r="I66" t="n">
        <v>17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46086-2021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44442</v>
      </c>
      <c r="E67" s="1" t="n">
        <v>46224</v>
      </c>
      <c r="F67" t="inlineStr">
        <is>
          <t>VÄSTRA GÖTALANDS LÄN</t>
        </is>
      </c>
      <c r="G67" t="inlineStr">
        <is>
          <t>SKÖVDE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44594</v>
      </c>
      <c r="E68" s="1" t="n">
        <v>46224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44609</v>
      </c>
      <c r="E69" s="1" t="n">
        <v>46224</v>
      </c>
      <c r="F69" t="inlineStr">
        <is>
          <t>VÄSTRA GÖTALANDS LÄN</t>
        </is>
      </c>
      <c r="G69" t="inlineStr">
        <is>
          <t>SKÖVDE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71907-2021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44543</v>
      </c>
      <c r="E70" s="1" t="n">
        <v>46224</v>
      </c>
      <c r="F70" t="inlineStr">
        <is>
          <t>VÄSTRA GÖTALANDS LÄN</t>
        </is>
      </c>
      <c r="G70" t="inlineStr">
        <is>
          <t>SKÖVDE</t>
        </is>
      </c>
      <c r="H70" t="inlineStr">
        <is>
          <t>Naturvårdsverket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65804-2021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46224</v>
      </c>
      <c r="F71" t="inlineStr">
        <is>
          <t>VÄSTRA GÖTALANDS LÄN</t>
        </is>
      </c>
      <c r="G71" t="inlineStr">
        <is>
          <t>SKÖVDE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45379-2022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44844</v>
      </c>
      <c r="E72" s="1" t="n">
        <v>46224</v>
      </c>
      <c r="F72" t="inlineStr">
        <is>
          <t>VÄSTRA GÖTALANDS LÄN</t>
        </is>
      </c>
      <c r="G72" t="inlineStr">
        <is>
          <t>SKÖVDE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44567</v>
      </c>
      <c r="E73" s="1" t="n">
        <v>46224</v>
      </c>
      <c r="F73" t="inlineStr">
        <is>
          <t>VÄSTRA GÖTALANDS LÄN</t>
        </is>
      </c>
      <c r="G73" t="inlineStr">
        <is>
          <t>SKÖVDE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46224</v>
      </c>
      <c r="F74" t="inlineStr">
        <is>
          <t>VÄSTRA GÖTALANDS LÄN</t>
        </is>
      </c>
      <c r="G74" t="inlineStr">
        <is>
          <t>SKÖVDE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41156-2021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44421</v>
      </c>
      <c r="E75" s="1" t="n">
        <v>46224</v>
      </c>
      <c r="F75" t="inlineStr">
        <is>
          <t>VÄSTRA GÖTALANDS LÄN</t>
        </is>
      </c>
      <c r="G75" t="inlineStr">
        <is>
          <t>SKÖVDE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46224</v>
      </c>
      <c r="F76" t="inlineStr">
        <is>
          <t>VÄSTRA GÖTALANDS LÄN</t>
        </is>
      </c>
      <c r="G76" t="inlineStr">
        <is>
          <t>SKÖVDE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28510-2022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46224</v>
      </c>
      <c r="F77" t="inlineStr">
        <is>
          <t>VÄSTRA GÖTALANDS LÄN</t>
        </is>
      </c>
      <c r="G77" t="inlineStr">
        <is>
          <t>SKÖVDE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44585</v>
      </c>
      <c r="E78" s="1" t="n">
        <v>46224</v>
      </c>
      <c r="F78" t="inlineStr">
        <is>
          <t>VÄSTRA GÖTALANDS LÄN</t>
        </is>
      </c>
      <c r="G78" t="inlineStr">
        <is>
          <t>SKÖVDE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8817-2022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46224</v>
      </c>
      <c r="F79" t="inlineStr">
        <is>
          <t>VÄSTRA GÖTALANDS LÄN</t>
        </is>
      </c>
      <c r="G79" t="inlineStr">
        <is>
          <t>SKÖVDE</t>
        </is>
      </c>
      <c r="H79" t="inlineStr">
        <is>
          <t>Kyrkan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46224</v>
      </c>
      <c r="F80" t="inlineStr">
        <is>
          <t>VÄSTRA GÖTALANDS LÄN</t>
        </is>
      </c>
      <c r="G80" t="inlineStr">
        <is>
          <t>SKÖVDE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44740</v>
      </c>
      <c r="E81" s="1" t="n">
        <v>46224</v>
      </c>
      <c r="F81" t="inlineStr">
        <is>
          <t>VÄSTRA GÖTALANDS LÄN</t>
        </is>
      </c>
      <c r="G81" t="inlineStr">
        <is>
          <t>SKÖVDE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69119-2021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44530</v>
      </c>
      <c r="E82" s="1" t="n">
        <v>46224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44698</v>
      </c>
      <c r="E83" s="1" t="n">
        <v>46224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46231-2022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44847</v>
      </c>
      <c r="E84" s="1" t="n">
        <v>46224</v>
      </c>
      <c r="F84" t="inlineStr">
        <is>
          <t>VÄSTRA GÖTALANDS LÄN</t>
        </is>
      </c>
      <c r="G84" t="inlineStr">
        <is>
          <t>SKÖVDE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11885-2022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44635</v>
      </c>
      <c r="E85" s="1" t="n">
        <v>46224</v>
      </c>
      <c r="F85" t="inlineStr">
        <is>
          <t>VÄSTRA GÖTALANDS LÄN</t>
        </is>
      </c>
      <c r="G85" t="inlineStr">
        <is>
          <t>SKÖVDE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44823</v>
      </c>
      <c r="E86" s="1" t="n">
        <v>46224</v>
      </c>
      <c r="F86" t="inlineStr">
        <is>
          <t>VÄSTRA GÖTALANDS LÄN</t>
        </is>
      </c>
      <c r="G86" t="inlineStr">
        <is>
          <t>SKÖVDE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11282-2022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44629</v>
      </c>
      <c r="E87" s="1" t="n">
        <v>46224</v>
      </c>
      <c r="F87" t="inlineStr">
        <is>
          <t>VÄSTRA GÖTALANDS LÄN</t>
        </is>
      </c>
      <c r="G87" t="inlineStr">
        <is>
          <t>SKÖVDE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56831-2021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44481</v>
      </c>
      <c r="E88" s="1" t="n">
        <v>46224</v>
      </c>
      <c r="F88" t="inlineStr">
        <is>
          <t>VÄSTRA GÖTALANDS LÄN</t>
        </is>
      </c>
      <c r="G88" t="inlineStr">
        <is>
          <t>SKÖVDE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30560-2022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46224</v>
      </c>
      <c r="F89" t="inlineStr">
        <is>
          <t>VÄSTRA GÖTALANDS LÄN</t>
        </is>
      </c>
      <c r="G89" t="inlineStr">
        <is>
          <t>SKÖVDE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37451-2022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44809</v>
      </c>
      <c r="E90" s="1" t="n">
        <v>46224</v>
      </c>
      <c r="F90" t="inlineStr">
        <is>
          <t>VÄSTRA GÖTALANDS LÄN</t>
        </is>
      </c>
      <c r="G90" t="inlineStr">
        <is>
          <t>SKÖVDE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27671-2022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44743</v>
      </c>
      <c r="E91" s="1" t="n">
        <v>46224</v>
      </c>
      <c r="F91" t="inlineStr">
        <is>
          <t>VÄSTRA GÖTALANDS LÄN</t>
        </is>
      </c>
      <c r="G91" t="inlineStr">
        <is>
          <t>SKÖVDE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5308-2023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44959</v>
      </c>
      <c r="E92" s="1" t="n">
        <v>46224</v>
      </c>
      <c r="F92" t="inlineStr">
        <is>
          <t>VÄSTRA GÖTALANDS LÄN</t>
        </is>
      </c>
      <c r="G92" t="inlineStr">
        <is>
          <t>SKÖVDE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48149-2023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45201</v>
      </c>
      <c r="E93" s="1" t="n">
        <v>46224</v>
      </c>
      <c r="F93" t="inlineStr">
        <is>
          <t>VÄSTRA GÖTALANDS LÄN</t>
        </is>
      </c>
      <c r="G93" t="inlineStr">
        <is>
          <t>SKÖVDE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46401-2023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45197</v>
      </c>
      <c r="E94" s="1" t="n">
        <v>46224</v>
      </c>
      <c r="F94" t="inlineStr">
        <is>
          <t>VÄSTRA GÖTALANDS LÄN</t>
        </is>
      </c>
      <c r="G94" t="inlineStr">
        <is>
          <t>SKÖVDE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45322</v>
      </c>
      <c r="E95" s="1" t="n">
        <v>46224</v>
      </c>
      <c r="F95" t="inlineStr">
        <is>
          <t>VÄSTRA GÖTALANDS LÄN</t>
        </is>
      </c>
      <c r="G95" t="inlineStr">
        <is>
          <t>SKÖVDE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17326-2025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45756</v>
      </c>
      <c r="E96" s="1" t="n">
        <v>46224</v>
      </c>
      <c r="F96" t="inlineStr">
        <is>
          <t>VÄSTRA GÖTALANDS LÄN</t>
        </is>
      </c>
      <c r="G96" t="inlineStr">
        <is>
          <t>SKÖVDE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61699-2025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46224</v>
      </c>
      <c r="F97" t="inlineStr">
        <is>
          <t>VÄSTRA GÖTALANDS LÄN</t>
        </is>
      </c>
      <c r="G97" t="inlineStr">
        <is>
          <t>SKÖVDE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61700-2025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46224</v>
      </c>
      <c r="F98" t="inlineStr">
        <is>
          <t>VÄSTRA GÖTALANDS LÄN</t>
        </is>
      </c>
      <c r="G98" t="inlineStr">
        <is>
          <t>SKÖVDE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9640-2025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45715</v>
      </c>
      <c r="E99" s="1" t="n">
        <v>46224</v>
      </c>
      <c r="F99" t="inlineStr">
        <is>
          <t>VÄSTRA GÖTALANDS LÄN</t>
        </is>
      </c>
      <c r="G99" t="inlineStr">
        <is>
          <t>SKÖVDE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14969-2025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45743</v>
      </c>
      <c r="E100" s="1" t="n">
        <v>46224</v>
      </c>
      <c r="F100" t="inlineStr">
        <is>
          <t>VÄSTRA GÖTALANDS LÄN</t>
        </is>
      </c>
      <c r="G100" t="inlineStr">
        <is>
          <t>SKÖVDE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8606-2025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45710</v>
      </c>
      <c r="E101" s="1" t="n">
        <v>46224</v>
      </c>
      <c r="F101" t="inlineStr">
        <is>
          <t>VÄSTRA GÖTALANDS LÄN</t>
        </is>
      </c>
      <c r="G101" t="inlineStr">
        <is>
          <t>SKÖVDE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37204-2024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45539</v>
      </c>
      <c r="E102" s="1" t="n">
        <v>46224</v>
      </c>
      <c r="F102" t="inlineStr">
        <is>
          <t>VÄSTRA GÖTALANDS LÄN</t>
        </is>
      </c>
      <c r="G102" t="inlineStr">
        <is>
          <t>SKÖVDE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23487-2025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45792</v>
      </c>
      <c r="E103" s="1" t="n">
        <v>46224</v>
      </c>
      <c r="F103" t="inlineStr">
        <is>
          <t>VÄSTRA GÖTALANDS LÄN</t>
        </is>
      </c>
      <c r="G103" t="inlineStr">
        <is>
          <t>SKÖVDE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5658-2024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45334</v>
      </c>
      <c r="E104" s="1" t="n">
        <v>46224</v>
      </c>
      <c r="F104" t="inlineStr">
        <is>
          <t>VÄSTRA GÖTALANDS LÄN</t>
        </is>
      </c>
      <c r="G104" t="inlineStr">
        <is>
          <t>SKÖVDE</t>
        </is>
      </c>
      <c r="I104" t="n">
        <v>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38499-2025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45884</v>
      </c>
      <c r="E105" s="1" t="n">
        <v>46224</v>
      </c>
      <c r="F105" t="inlineStr">
        <is>
          <t>VÄSTRA GÖTALANDS LÄN</t>
        </is>
      </c>
      <c r="G105" t="inlineStr">
        <is>
          <t>SKÖVDE</t>
        </is>
      </c>
      <c r="H105" t="inlineStr">
        <is>
          <t>Kyrkan</t>
        </is>
      </c>
      <c r="I105" t="n">
        <v>10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15952-2025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45749</v>
      </c>
      <c r="E106" s="1" t="n">
        <v>46224</v>
      </c>
      <c r="F106" t="inlineStr">
        <is>
          <t>VÄSTRA GÖTALANDS LÄN</t>
        </is>
      </c>
      <c r="G106" t="inlineStr">
        <is>
          <t>SKÖVDE</t>
        </is>
      </c>
      <c r="H106" t="inlineStr">
        <is>
          <t>Kommuner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35069-2023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45142</v>
      </c>
      <c r="E107" s="1" t="n">
        <v>46224</v>
      </c>
      <c r="F107" t="inlineStr">
        <is>
          <t>VÄSTRA GÖTALANDS LÄN</t>
        </is>
      </c>
      <c r="G107" t="inlineStr">
        <is>
          <t>SKÖVDE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10560-2025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45721</v>
      </c>
      <c r="E108" s="1" t="n">
        <v>46224</v>
      </c>
      <c r="F108" t="inlineStr">
        <is>
          <t>VÄSTRA GÖTALANDS LÄN</t>
        </is>
      </c>
      <c r="G108" t="inlineStr">
        <is>
          <t>SKÖVDE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12972-2025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45734</v>
      </c>
      <c r="E109" s="1" t="n">
        <v>46224</v>
      </c>
      <c r="F109" t="inlineStr">
        <is>
          <t>VÄSTRA GÖTALANDS LÄN</t>
        </is>
      </c>
      <c r="G109" t="inlineStr">
        <is>
          <t>SKÖVDE</t>
        </is>
      </c>
      <c r="H109" t="inlineStr">
        <is>
          <t>Kommuner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58929-2022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44903</v>
      </c>
      <c r="E110" s="1" t="n">
        <v>46224</v>
      </c>
      <c r="F110" t="inlineStr">
        <is>
          <t>VÄSTRA GÖTALANDS LÄN</t>
        </is>
      </c>
      <c r="G110" t="inlineStr">
        <is>
          <t>SKÖVDE</t>
        </is>
      </c>
      <c r="H110" t="inlineStr">
        <is>
          <t>Kommuner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62803-2025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46008</v>
      </c>
      <c r="E111" s="1" t="n">
        <v>46224</v>
      </c>
      <c r="F111" t="inlineStr">
        <is>
          <t>VÄSTRA GÖTALANDS LÄN</t>
        </is>
      </c>
      <c r="G111" t="inlineStr">
        <is>
          <t>SKÖVDE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35199-2025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45853</v>
      </c>
      <c r="E112" s="1" t="n">
        <v>46224</v>
      </c>
      <c r="F112" t="inlineStr">
        <is>
          <t>VÄSTRA GÖTALANDS LÄN</t>
        </is>
      </c>
      <c r="G112" t="inlineStr">
        <is>
          <t>SKÖVDE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24186-2025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45796</v>
      </c>
      <c r="E113" s="1" t="n">
        <v>46224</v>
      </c>
      <c r="F113" t="inlineStr">
        <is>
          <t>VÄSTRA GÖTALANDS LÄN</t>
        </is>
      </c>
      <c r="G113" t="inlineStr">
        <is>
          <t>SKÖVDE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62811-2025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46008</v>
      </c>
      <c r="E114" s="1" t="n">
        <v>46224</v>
      </c>
      <c r="F114" t="inlineStr">
        <is>
          <t>VÄSTRA GÖTALANDS LÄN</t>
        </is>
      </c>
      <c r="G114" t="inlineStr">
        <is>
          <t>SKÖVDE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44601</v>
      </c>
      <c r="E115" s="1" t="n">
        <v>46224</v>
      </c>
      <c r="F115" t="inlineStr">
        <is>
          <t>VÄSTRA GÖTALANDS LÄN</t>
        </is>
      </c>
      <c r="G115" t="inlineStr">
        <is>
          <t>SKÖVDE</t>
        </is>
      </c>
      <c r="H115" t="inlineStr">
        <is>
          <t>Kommuner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39073-2025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45888</v>
      </c>
      <c r="E116" s="1" t="n">
        <v>46224</v>
      </c>
      <c r="F116" t="inlineStr">
        <is>
          <t>VÄSTRA GÖTALANDS LÄN</t>
        </is>
      </c>
      <c r="G116" t="inlineStr">
        <is>
          <t>SKÖVDE</t>
        </is>
      </c>
      <c r="H116" t="inlineStr">
        <is>
          <t>Kyrkan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39238-2025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45889</v>
      </c>
      <c r="E117" s="1" t="n">
        <v>46224</v>
      </c>
      <c r="F117" t="inlineStr">
        <is>
          <t>VÄSTRA GÖTALANDS LÄN</t>
        </is>
      </c>
      <c r="G117" t="inlineStr">
        <is>
          <t>SKÖVDE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45889</v>
      </c>
      <c r="E118" s="1" t="n">
        <v>46224</v>
      </c>
      <c r="F118" t="inlineStr">
        <is>
          <t>VÄSTRA GÖTALANDS LÄN</t>
        </is>
      </c>
      <c r="G118" t="inlineStr">
        <is>
          <t>SKÖVDE</t>
        </is>
      </c>
      <c r="I118" t="n">
        <v>9.199999999999999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53740-2023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45230</v>
      </c>
      <c r="E119" s="1" t="n">
        <v>46224</v>
      </c>
      <c r="F119" t="inlineStr">
        <is>
          <t>VÄSTRA GÖTALANDS LÄN</t>
        </is>
      </c>
      <c r="G119" t="inlineStr">
        <is>
          <t>SKÖVDE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58456-2024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45635</v>
      </c>
      <c r="E120" s="1" t="n">
        <v>46224</v>
      </c>
      <c r="F120" t="inlineStr">
        <is>
          <t>VÄSTRA GÖTALANDS LÄN</t>
        </is>
      </c>
      <c r="G120" t="inlineStr">
        <is>
          <t>SKÖVDE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24962-2025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46224</v>
      </c>
      <c r="F121" t="inlineStr">
        <is>
          <t>VÄSTRA GÖTALANDS LÄN</t>
        </is>
      </c>
      <c r="G121" t="inlineStr">
        <is>
          <t>SKÖVDE</t>
        </is>
      </c>
      <c r="H121" t="inlineStr">
        <is>
          <t>Kommuner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25003-2025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45799</v>
      </c>
      <c r="E122" s="1" t="n">
        <v>46224</v>
      </c>
      <c r="F122" t="inlineStr">
        <is>
          <t>VÄSTRA GÖTALANDS LÄN</t>
        </is>
      </c>
      <c r="G122" t="inlineStr">
        <is>
          <t>SKÖVDE</t>
        </is>
      </c>
      <c r="H122" t="inlineStr">
        <is>
          <t>Kommuner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25642-2025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45803</v>
      </c>
      <c r="E123" s="1" t="n">
        <v>46224</v>
      </c>
      <c r="F123" t="inlineStr">
        <is>
          <t>VÄSTRA GÖTALANDS LÄN</t>
        </is>
      </c>
      <c r="G123" t="inlineStr">
        <is>
          <t>SKÖVDE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8557-2025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45709</v>
      </c>
      <c r="E124" s="1" t="n">
        <v>46224</v>
      </c>
      <c r="F124" t="inlineStr">
        <is>
          <t>VÄSTRA GÖTALANDS LÄN</t>
        </is>
      </c>
      <c r="G124" t="inlineStr">
        <is>
          <t>SKÖVDE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46013</v>
      </c>
      <c r="E125" s="1" t="n">
        <v>46224</v>
      </c>
      <c r="F125" t="inlineStr">
        <is>
          <t>VÄSTRA GÖTALANDS LÄN</t>
        </is>
      </c>
      <c r="G125" t="inlineStr">
        <is>
          <t>SKÖVDE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25271-2025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45800</v>
      </c>
      <c r="E126" s="1" t="n">
        <v>46224</v>
      </c>
      <c r="F126" t="inlineStr">
        <is>
          <t>VÄSTRA GÖTALANDS LÄN</t>
        </is>
      </c>
      <c r="G126" t="inlineStr">
        <is>
          <t>SKÖVDE</t>
        </is>
      </c>
      <c r="H126" t="inlineStr">
        <is>
          <t>Kommuner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25639-2025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45800</v>
      </c>
      <c r="E127" s="1" t="n">
        <v>46224</v>
      </c>
      <c r="F127" t="inlineStr">
        <is>
          <t>VÄSTRA GÖTALANDS LÄN</t>
        </is>
      </c>
      <c r="G127" t="inlineStr">
        <is>
          <t>SKÖVDE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26737-2023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45093</v>
      </c>
      <c r="E128" s="1" t="n">
        <v>46224</v>
      </c>
      <c r="F128" t="inlineStr">
        <is>
          <t>VÄSTRA GÖTALANDS LÄN</t>
        </is>
      </c>
      <c r="G128" t="inlineStr">
        <is>
          <t>SKÖVDE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38750-2023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46224</v>
      </c>
      <c r="F129" t="inlineStr">
        <is>
          <t>VÄSTRA GÖTALANDS LÄN</t>
        </is>
      </c>
      <c r="G129" t="inlineStr">
        <is>
          <t>SKÖVDE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26618-2025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45810</v>
      </c>
      <c r="E130" s="1" t="n">
        <v>46224</v>
      </c>
      <c r="F130" t="inlineStr">
        <is>
          <t>VÄSTRA GÖTALANDS LÄN</t>
        </is>
      </c>
      <c r="G130" t="inlineStr">
        <is>
          <t>SKÖVDE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26620-2025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45810</v>
      </c>
      <c r="E131" s="1" t="n">
        <v>46224</v>
      </c>
      <c r="F131" t="inlineStr">
        <is>
          <t>VÄSTRA GÖTALANDS LÄN</t>
        </is>
      </c>
      <c r="G131" t="inlineStr">
        <is>
          <t>SKÖVDE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26614-2025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45810</v>
      </c>
      <c r="E132" s="1" t="n">
        <v>46224</v>
      </c>
      <c r="F132" t="inlineStr">
        <is>
          <t>VÄSTRA GÖTALANDS LÄN</t>
        </is>
      </c>
      <c r="G132" t="inlineStr">
        <is>
          <t>SKÖVDE</t>
        </is>
      </c>
      <c r="I132" t="n">
        <v>12.3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49954-2023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45215</v>
      </c>
      <c r="E133" s="1" t="n">
        <v>46224</v>
      </c>
      <c r="F133" t="inlineStr">
        <is>
          <t>VÄSTRA GÖTALANDS LÄN</t>
        </is>
      </c>
      <c r="G133" t="inlineStr">
        <is>
          <t>SKÖVDE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38264-2023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45161</v>
      </c>
      <c r="E134" s="1" t="n">
        <v>46224</v>
      </c>
      <c r="F134" t="inlineStr">
        <is>
          <t>VÄSTRA GÖTALANDS LÄN</t>
        </is>
      </c>
      <c r="G134" t="inlineStr">
        <is>
          <t>SKÖVDE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29012-2025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45821</v>
      </c>
      <c r="E135" s="1" t="n">
        <v>46224</v>
      </c>
      <c r="F135" t="inlineStr">
        <is>
          <t>VÄSTRA GÖTALANDS LÄN</t>
        </is>
      </c>
      <c r="G135" t="inlineStr">
        <is>
          <t>SKÖVDE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29023-2025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45821</v>
      </c>
      <c r="E136" s="1" t="n">
        <v>46224</v>
      </c>
      <c r="F136" t="inlineStr">
        <is>
          <t>VÄSTRA GÖTALANDS LÄN</t>
        </is>
      </c>
      <c r="G136" t="inlineStr">
        <is>
          <t>SKÖVDE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29341-2025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45824</v>
      </c>
      <c r="E137" s="1" t="n">
        <v>46224</v>
      </c>
      <c r="F137" t="inlineStr">
        <is>
          <t>VÄSTRA GÖTALANDS LÄN</t>
        </is>
      </c>
      <c r="G137" t="inlineStr">
        <is>
          <t>SKÖVDE</t>
        </is>
      </c>
      <c r="H137" t="inlineStr">
        <is>
          <t>Kommuner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29017-2025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45821</v>
      </c>
      <c r="E138" s="1" t="n">
        <v>46224</v>
      </c>
      <c r="F138" t="inlineStr">
        <is>
          <t>VÄSTRA GÖTALANDS LÄN</t>
        </is>
      </c>
      <c r="G138" t="inlineStr">
        <is>
          <t>SKÖVDE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45699</v>
      </c>
      <c r="E139" s="1" t="n">
        <v>46224</v>
      </c>
      <c r="F139" t="inlineStr">
        <is>
          <t>VÄSTRA GÖTALANDS LÄN</t>
        </is>
      </c>
      <c r="G139" t="inlineStr">
        <is>
          <t>SKÖVDE</t>
        </is>
      </c>
      <c r="H139" t="inlineStr">
        <is>
          <t>Kommuner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29015-2025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45821</v>
      </c>
      <c r="E140" s="1" t="n">
        <v>46224</v>
      </c>
      <c r="F140" t="inlineStr">
        <is>
          <t>VÄSTRA GÖTALANDS LÄN</t>
        </is>
      </c>
      <c r="G140" t="inlineStr">
        <is>
          <t>SKÖVDE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30150-2025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45827</v>
      </c>
      <c r="E141" s="1" t="n">
        <v>46224</v>
      </c>
      <c r="F141" t="inlineStr">
        <is>
          <t>VÄSTRA GÖTALANDS LÄN</t>
        </is>
      </c>
      <c r="G141" t="inlineStr">
        <is>
          <t>SKÖVDE</t>
        </is>
      </c>
      <c r="H141" t="inlineStr">
        <is>
          <t>Kommuner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20912-2024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45439</v>
      </c>
      <c r="E142" s="1" t="n">
        <v>46224</v>
      </c>
      <c r="F142" t="inlineStr">
        <is>
          <t>VÄSTRA GÖTALANDS LÄN</t>
        </is>
      </c>
      <c r="G142" t="inlineStr">
        <is>
          <t>SKÖVDE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45929</v>
      </c>
      <c r="E143" s="1" t="n">
        <v>46224</v>
      </c>
      <c r="F143" t="inlineStr">
        <is>
          <t>VÄSTRA GÖTALANDS LÄN</t>
        </is>
      </c>
      <c r="G143" t="inlineStr">
        <is>
          <t>SKÖVDE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67134-2021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44523</v>
      </c>
      <c r="E144" s="1" t="n">
        <v>46224</v>
      </c>
      <c r="F144" t="inlineStr">
        <is>
          <t>VÄSTRA GÖTALANDS LÄN</t>
        </is>
      </c>
      <c r="G144" t="inlineStr">
        <is>
          <t>SKÖVDE</t>
        </is>
      </c>
      <c r="H144" t="inlineStr">
        <is>
          <t>Sveaskog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12942-2024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45385</v>
      </c>
      <c r="E145" s="1" t="n">
        <v>46224</v>
      </c>
      <c r="F145" t="inlineStr">
        <is>
          <t>VÄSTRA GÖTALANDS LÄN</t>
        </is>
      </c>
      <c r="G145" t="inlineStr">
        <is>
          <t>SKÖVDE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42579-2025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45905</v>
      </c>
      <c r="E146" s="1" t="n">
        <v>46224</v>
      </c>
      <c r="F146" t="inlineStr">
        <is>
          <t>VÄSTRA GÖTALANDS LÄN</t>
        </is>
      </c>
      <c r="G146" t="inlineStr">
        <is>
          <t>SKÖVDE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63751-2025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46017</v>
      </c>
      <c r="E147" s="1" t="n">
        <v>46224</v>
      </c>
      <c r="F147" t="inlineStr">
        <is>
          <t>VÄSTRA GÖTALANDS LÄN</t>
        </is>
      </c>
      <c r="G147" t="inlineStr">
        <is>
          <t>SKÖVDE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47892-2025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45932</v>
      </c>
      <c r="E148" s="1" t="n">
        <v>46224</v>
      </c>
      <c r="F148" t="inlineStr">
        <is>
          <t>VÄSTRA GÖTALANDS LÄN</t>
        </is>
      </c>
      <c r="G148" t="inlineStr">
        <is>
          <t>SKÖVDE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48890-2025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45937</v>
      </c>
      <c r="E149" s="1" t="n">
        <v>46224</v>
      </c>
      <c r="F149" t="inlineStr">
        <is>
          <t>VÄSTRA GÖTALANDS LÄN</t>
        </is>
      </c>
      <c r="G149" t="inlineStr">
        <is>
          <t>SKÖVDE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33053-2025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45840</v>
      </c>
      <c r="E150" s="1" t="n">
        <v>46224</v>
      </c>
      <c r="F150" t="inlineStr">
        <is>
          <t>VÄSTRA GÖTALANDS LÄN</t>
        </is>
      </c>
      <c r="G150" t="inlineStr">
        <is>
          <t>SKÖVDE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33861-2025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45842</v>
      </c>
      <c r="E151" s="1" t="n">
        <v>46224</v>
      </c>
      <c r="F151" t="inlineStr">
        <is>
          <t>VÄSTRA GÖTALANDS LÄN</t>
        </is>
      </c>
      <c r="G151" t="inlineStr">
        <is>
          <t>SKÖVDE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34410-2025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45846</v>
      </c>
      <c r="E152" s="1" t="n">
        <v>46224</v>
      </c>
      <c r="F152" t="inlineStr">
        <is>
          <t>VÄSTRA GÖTALANDS LÄN</t>
        </is>
      </c>
      <c r="G152" t="inlineStr">
        <is>
          <t>SKÖVDE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34414-2025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45846</v>
      </c>
      <c r="E153" s="1" t="n">
        <v>46224</v>
      </c>
      <c r="F153" t="inlineStr">
        <is>
          <t>VÄSTRA GÖTALANDS LÄN</t>
        </is>
      </c>
      <c r="G153" t="inlineStr">
        <is>
          <t>SKÖVDE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34412-2025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45846</v>
      </c>
      <c r="E154" s="1" t="n">
        <v>46224</v>
      </c>
      <c r="F154" t="inlineStr">
        <is>
          <t>VÄSTRA GÖTALANDS LÄN</t>
        </is>
      </c>
      <c r="G154" t="inlineStr">
        <is>
          <t>SKÖVDE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51217-2025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45947</v>
      </c>
      <c r="E155" s="1" t="n">
        <v>46224</v>
      </c>
      <c r="F155" t="inlineStr">
        <is>
          <t>VÄSTRA GÖTALANDS LÄN</t>
        </is>
      </c>
      <c r="G155" t="inlineStr">
        <is>
          <t>SKÖVDE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51155-2025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45947</v>
      </c>
      <c r="E156" s="1" t="n">
        <v>46224</v>
      </c>
      <c r="F156" t="inlineStr">
        <is>
          <t>VÄSTRA GÖTALANDS LÄN</t>
        </is>
      </c>
      <c r="G156" t="inlineStr">
        <is>
          <t>SKÖVDE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51193-2025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45947</v>
      </c>
      <c r="E157" s="1" t="n">
        <v>46224</v>
      </c>
      <c r="F157" t="inlineStr">
        <is>
          <t>VÄSTRA GÖTALANDS LÄN</t>
        </is>
      </c>
      <c r="G157" t="inlineStr">
        <is>
          <t>SKÖVDE</t>
        </is>
      </c>
      <c r="I157" t="n">
        <v>7.2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19372-2025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45769</v>
      </c>
      <c r="E158" s="1" t="n">
        <v>46224</v>
      </c>
      <c r="F158" t="inlineStr">
        <is>
          <t>VÄSTRA GÖTALANDS LÄN</t>
        </is>
      </c>
      <c r="G158" t="inlineStr">
        <is>
          <t>SKÖVDE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52172-2025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46224</v>
      </c>
      <c r="F159" t="inlineStr">
        <is>
          <t>VÄSTRA GÖTALANDS LÄN</t>
        </is>
      </c>
      <c r="G159" t="inlineStr">
        <is>
          <t>SKÖVDE</t>
        </is>
      </c>
      <c r="H159" t="inlineStr">
        <is>
          <t>Kommuner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53153-2025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45958</v>
      </c>
      <c r="E160" s="1" t="n">
        <v>46224</v>
      </c>
      <c r="F160" t="inlineStr">
        <is>
          <t>VÄSTRA GÖTALANDS LÄN</t>
        </is>
      </c>
      <c r="G160" t="inlineStr">
        <is>
          <t>SKÖVDE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50829-2022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44862</v>
      </c>
      <c r="E161" s="1" t="n">
        <v>46224</v>
      </c>
      <c r="F161" t="inlineStr">
        <is>
          <t>VÄSTRA GÖTALANDS LÄN</t>
        </is>
      </c>
      <c r="G161" t="inlineStr">
        <is>
          <t>SKÖVDE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60588-2023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45259</v>
      </c>
      <c r="E162" s="1" t="n">
        <v>46224</v>
      </c>
      <c r="F162" t="inlineStr">
        <is>
          <t>VÄSTRA GÖTALANDS LÄN</t>
        </is>
      </c>
      <c r="G162" t="inlineStr">
        <is>
          <t>SKÖVDE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48983-2024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45594</v>
      </c>
      <c r="E163" s="1" t="n">
        <v>46224</v>
      </c>
      <c r="F163" t="inlineStr">
        <is>
          <t>VÄSTRA GÖTALANDS LÄN</t>
        </is>
      </c>
      <c r="G163" t="inlineStr">
        <is>
          <t>SKÖVDE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62290-2023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45267</v>
      </c>
      <c r="E164" s="1" t="n">
        <v>46224</v>
      </c>
      <c r="F164" t="inlineStr">
        <is>
          <t>VÄSTRA GÖTALANDS LÄN</t>
        </is>
      </c>
      <c r="G164" t="inlineStr">
        <is>
          <t>SKÖVDE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2259-2026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46036</v>
      </c>
      <c r="E165" s="1" t="n">
        <v>46224</v>
      </c>
      <c r="F165" t="inlineStr">
        <is>
          <t>VÄSTRA GÖTALANDS LÄN</t>
        </is>
      </c>
      <c r="G165" t="inlineStr">
        <is>
          <t>SKÖVDE</t>
        </is>
      </c>
      <c r="I165" t="n">
        <v>7.3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1629-2025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45670</v>
      </c>
      <c r="E166" s="1" t="n">
        <v>46224</v>
      </c>
      <c r="F166" t="inlineStr">
        <is>
          <t>VÄSTRA GÖTALANDS LÄN</t>
        </is>
      </c>
      <c r="G166" t="inlineStr">
        <is>
          <t>SKÖVDE</t>
        </is>
      </c>
      <c r="I166" t="n">
        <v>11.8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46224</v>
      </c>
      <c r="F167" t="inlineStr">
        <is>
          <t>VÄSTRA GÖTALANDS LÄN</t>
        </is>
      </c>
      <c r="G167" t="inlineStr">
        <is>
          <t>SKÖVDE</t>
        </is>
      </c>
      <c r="H167" t="inlineStr">
        <is>
          <t>Kommuner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59366-2025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45989</v>
      </c>
      <c r="E168" s="1" t="n">
        <v>46224</v>
      </c>
      <c r="F168" t="inlineStr">
        <is>
          <t>VÄSTRA GÖTALANDS LÄN</t>
        </is>
      </c>
      <c r="G168" t="inlineStr">
        <is>
          <t>SKÖVDE</t>
        </is>
      </c>
      <c r="H168" t="inlineStr">
        <is>
          <t>Kommuner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950-2024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45301</v>
      </c>
      <c r="E169" s="1" t="n">
        <v>46224</v>
      </c>
      <c r="F169" t="inlineStr">
        <is>
          <t>VÄSTRA GÖTALANDS LÄN</t>
        </is>
      </c>
      <c r="G169" t="inlineStr">
        <is>
          <t>SKÖVDE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47900-2023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45204</v>
      </c>
      <c r="E170" s="1" t="n">
        <v>46224</v>
      </c>
      <c r="F170" t="inlineStr">
        <is>
          <t>VÄSTRA GÖTALANDS LÄN</t>
        </is>
      </c>
      <c r="G170" t="inlineStr">
        <is>
          <t>SKÖVDE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61420-2025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46001</v>
      </c>
      <c r="E171" s="1" t="n">
        <v>46224</v>
      </c>
      <c r="F171" t="inlineStr">
        <is>
          <t>VÄSTRA GÖTALANDS LÄN</t>
        </is>
      </c>
      <c r="G171" t="inlineStr">
        <is>
          <t>SKÖVDE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61421-2025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46001</v>
      </c>
      <c r="E172" s="1" t="n">
        <v>46224</v>
      </c>
      <c r="F172" t="inlineStr">
        <is>
          <t>VÄSTRA GÖTALANDS LÄN</t>
        </is>
      </c>
      <c r="G172" t="inlineStr">
        <is>
          <t>SKÖVDE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61422-2025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46001</v>
      </c>
      <c r="E173" s="1" t="n">
        <v>46224</v>
      </c>
      <c r="F173" t="inlineStr">
        <is>
          <t>VÄSTRA GÖTALANDS LÄN</t>
        </is>
      </c>
      <c r="G173" t="inlineStr">
        <is>
          <t>SKÖVDE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5785-2026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46051</v>
      </c>
      <c r="E174" s="1" t="n">
        <v>46224</v>
      </c>
      <c r="F174" t="inlineStr">
        <is>
          <t>VÄSTRA GÖTALANDS LÄN</t>
        </is>
      </c>
      <c r="G174" t="inlineStr">
        <is>
          <t>SKÖVDE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49416-2023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45211</v>
      </c>
      <c r="E175" s="1" t="n">
        <v>46224</v>
      </c>
      <c r="F175" t="inlineStr">
        <is>
          <t>VÄSTRA GÖTALANDS LÄN</t>
        </is>
      </c>
      <c r="G175" t="inlineStr">
        <is>
          <t>SKÖVDE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3670-2022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44586</v>
      </c>
      <c r="E176" s="1" t="n">
        <v>46224</v>
      </c>
      <c r="F176" t="inlineStr">
        <is>
          <t>VÄSTRA GÖTALANDS LÄN</t>
        </is>
      </c>
      <c r="G176" t="inlineStr">
        <is>
          <t>SKÖVDE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6092-2026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46052</v>
      </c>
      <c r="E177" s="1" t="n">
        <v>46224</v>
      </c>
      <c r="F177" t="inlineStr">
        <is>
          <t>VÄSTRA GÖTALANDS LÄN</t>
        </is>
      </c>
      <c r="G177" t="inlineStr">
        <is>
          <t>SKÖVDE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35280-2024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45530</v>
      </c>
      <c r="E178" s="1" t="n">
        <v>46224</v>
      </c>
      <c r="F178" t="inlineStr">
        <is>
          <t>VÄSTRA GÖTALANDS LÄN</t>
        </is>
      </c>
      <c r="G178" t="inlineStr">
        <is>
          <t>SKÖVDE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59893-2025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45992</v>
      </c>
      <c r="E179" s="1" t="n">
        <v>46224</v>
      </c>
      <c r="F179" t="inlineStr">
        <is>
          <t>VÄSTRA GÖTALANDS LÄN</t>
        </is>
      </c>
      <c r="G179" t="inlineStr">
        <is>
          <t>SKÖVDE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63730-2025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46010</v>
      </c>
      <c r="E180" s="1" t="n">
        <v>46224</v>
      </c>
      <c r="F180" t="inlineStr">
        <is>
          <t>VÄSTRA GÖTALANDS LÄN</t>
        </is>
      </c>
      <c r="G180" t="inlineStr">
        <is>
          <t>SKÖVDE</t>
        </is>
      </c>
      <c r="H180" t="inlineStr">
        <is>
          <t>Övriga statliga verk och myndigheter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7746-2026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46062</v>
      </c>
      <c r="E181" s="1" t="n">
        <v>46224</v>
      </c>
      <c r="F181" t="inlineStr">
        <is>
          <t>VÄSTRA GÖTALANDS LÄN</t>
        </is>
      </c>
      <c r="G181" t="inlineStr">
        <is>
          <t>SKÖVDE</t>
        </is>
      </c>
      <c r="I181" t="n">
        <v>6.7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63729-2025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46010</v>
      </c>
      <c r="E182" s="1" t="n">
        <v>46224</v>
      </c>
      <c r="F182" t="inlineStr">
        <is>
          <t>VÄSTRA GÖTALANDS LÄN</t>
        </is>
      </c>
      <c r="G182" t="inlineStr">
        <is>
          <t>SKÖVDE</t>
        </is>
      </c>
      <c r="H182" t="inlineStr">
        <is>
          <t>Övriga statliga verk och myndigheter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63374-2025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46009</v>
      </c>
      <c r="E183" s="1" t="n">
        <v>46224</v>
      </c>
      <c r="F183" t="inlineStr">
        <is>
          <t>VÄSTRA GÖTALANDS LÄN</t>
        </is>
      </c>
      <c r="G183" t="inlineStr">
        <is>
          <t>SKÖVDE</t>
        </is>
      </c>
      <c r="H183" t="inlineStr">
        <is>
          <t>Övriga statliga verk och myndigheter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63375-2025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46009</v>
      </c>
      <c r="E184" s="1" t="n">
        <v>46224</v>
      </c>
      <c r="F184" t="inlineStr">
        <is>
          <t>VÄSTRA GÖTALANDS LÄN</t>
        </is>
      </c>
      <c r="G184" t="inlineStr">
        <is>
          <t>SKÖVDE</t>
        </is>
      </c>
      <c r="H184" t="inlineStr">
        <is>
          <t>Övriga statliga verk och myndigheter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7748-2026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46062</v>
      </c>
      <c r="E185" s="1" t="n">
        <v>46224</v>
      </c>
      <c r="F185" t="inlineStr">
        <is>
          <t>VÄSTRA GÖTALANDS LÄN</t>
        </is>
      </c>
      <c r="G185" t="inlineStr">
        <is>
          <t>SKÖVDE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15388-2024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45401</v>
      </c>
      <c r="E186" s="1" t="n">
        <v>46224</v>
      </c>
      <c r="F186" t="inlineStr">
        <is>
          <t>VÄSTRA GÖTALANDS LÄN</t>
        </is>
      </c>
      <c r="G186" t="inlineStr">
        <is>
          <t>SKÖVDE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44963</v>
      </c>
      <c r="E187" s="1" t="n">
        <v>46224</v>
      </c>
      <c r="F187" t="inlineStr">
        <is>
          <t>VÄSTRA GÖTALANDS LÄN</t>
        </is>
      </c>
      <c r="G187" t="inlineStr">
        <is>
          <t>SKÖVDE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1784-2023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44938</v>
      </c>
      <c r="E188" s="1" t="n">
        <v>46224</v>
      </c>
      <c r="F188" t="inlineStr">
        <is>
          <t>VÄSTRA GÖTALANDS LÄN</t>
        </is>
      </c>
      <c r="G188" t="inlineStr">
        <is>
          <t>SKÖVDE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34248-2023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45138</v>
      </c>
      <c r="E189" s="1" t="n">
        <v>46224</v>
      </c>
      <c r="F189" t="inlineStr">
        <is>
          <t>VÄSTRA GÖTALANDS LÄN</t>
        </is>
      </c>
      <c r="G189" t="inlineStr">
        <is>
          <t>SKÖVDE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3481-2024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45320</v>
      </c>
      <c r="E190" s="1" t="n">
        <v>46224</v>
      </c>
      <c r="F190" t="inlineStr">
        <is>
          <t>VÄSTRA GÖTALANDS LÄN</t>
        </is>
      </c>
      <c r="G190" t="inlineStr">
        <is>
          <t>SKÖVDE</t>
        </is>
      </c>
      <c r="I190" t="n">
        <v>7.7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60117-2021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44495</v>
      </c>
      <c r="E191" s="1" t="n">
        <v>46224</v>
      </c>
      <c r="F191" t="inlineStr">
        <is>
          <t>VÄSTRA GÖTALANDS LÄN</t>
        </is>
      </c>
      <c r="G191" t="inlineStr">
        <is>
          <t>SKÖVDE</t>
        </is>
      </c>
      <c r="I191" t="n">
        <v>5.9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6224-2022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44600</v>
      </c>
      <c r="E192" s="1" t="n">
        <v>46224</v>
      </c>
      <c r="F192" t="inlineStr">
        <is>
          <t>VÄSTRA GÖTALANDS LÄN</t>
        </is>
      </c>
      <c r="G192" t="inlineStr">
        <is>
          <t>SKÖVDE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26699-2022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44739</v>
      </c>
      <c r="E193" s="1" t="n">
        <v>46224</v>
      </c>
      <c r="F193" t="inlineStr">
        <is>
          <t>VÄSTRA GÖTALANDS LÄN</t>
        </is>
      </c>
      <c r="G193" t="inlineStr">
        <is>
          <t>SKÖVDE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41722-2024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45560</v>
      </c>
      <c r="E194" s="1" t="n">
        <v>46224</v>
      </c>
      <c r="F194" t="inlineStr">
        <is>
          <t>VÄSTRA GÖTALANDS LÄN</t>
        </is>
      </c>
      <c r="G194" t="inlineStr">
        <is>
          <t>SKÖVDE</t>
        </is>
      </c>
      <c r="I194" t="n">
        <v>10.1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12719-2026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46091</v>
      </c>
      <c r="E195" s="1" t="n">
        <v>46224</v>
      </c>
      <c r="F195" t="inlineStr">
        <is>
          <t>VÄSTRA GÖTALANDS LÄN</t>
        </is>
      </c>
      <c r="G195" t="inlineStr">
        <is>
          <t>SKÖVDE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45693</v>
      </c>
      <c r="E196" s="1" t="n">
        <v>46224</v>
      </c>
      <c r="F196" t="inlineStr">
        <is>
          <t>VÄSTRA GÖTALANDS LÄN</t>
        </is>
      </c>
      <c r="G196" t="inlineStr">
        <is>
          <t>SKÖVDE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45306</v>
      </c>
      <c r="E197" s="1" t="n">
        <v>46224</v>
      </c>
      <c r="F197" t="inlineStr">
        <is>
          <t>VÄSTRA GÖTALANDS LÄN</t>
        </is>
      </c>
      <c r="G197" t="inlineStr">
        <is>
          <t>SKÖVDE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35610-2024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45531</v>
      </c>
      <c r="E198" s="1" t="n">
        <v>46224</v>
      </c>
      <c r="F198" t="inlineStr">
        <is>
          <t>VÄSTRA GÖTALANDS LÄN</t>
        </is>
      </c>
      <c r="G198" t="inlineStr">
        <is>
          <t>SKÖVDE</t>
        </is>
      </c>
      <c r="I198" t="n">
        <v>11.7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14281-2026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46099</v>
      </c>
      <c r="E199" s="1" t="n">
        <v>46224</v>
      </c>
      <c r="F199" t="inlineStr">
        <is>
          <t>VÄSTRA GÖTALANDS LÄN</t>
        </is>
      </c>
      <c r="G199" t="inlineStr">
        <is>
          <t>SKÖVDE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4237-2024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45324</v>
      </c>
      <c r="E200" s="1" t="n">
        <v>46224</v>
      </c>
      <c r="F200" t="inlineStr">
        <is>
          <t>VÄSTRA GÖTALANDS LÄN</t>
        </is>
      </c>
      <c r="G200" t="inlineStr">
        <is>
          <t>SKÖVDE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58342-2023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45245</v>
      </c>
      <c r="E201" s="1" t="n">
        <v>46224</v>
      </c>
      <c r="F201" t="inlineStr">
        <is>
          <t>VÄSTRA GÖTALANDS LÄN</t>
        </is>
      </c>
      <c r="G201" t="inlineStr">
        <is>
          <t>SKÖVDE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59053-2024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45636</v>
      </c>
      <c r="E202" s="1" t="n">
        <v>46224</v>
      </c>
      <c r="F202" t="inlineStr">
        <is>
          <t>VÄSTRA GÖTALANDS LÄN</t>
        </is>
      </c>
      <c r="G202" t="inlineStr">
        <is>
          <t>SKÖVDE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40712-2021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44420</v>
      </c>
      <c r="E203" s="1" t="n">
        <v>46224</v>
      </c>
      <c r="F203" t="inlineStr">
        <is>
          <t>VÄSTRA GÖTALANDS LÄN</t>
        </is>
      </c>
      <c r="G203" t="inlineStr">
        <is>
          <t>SKÖVDE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5714-2025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45694</v>
      </c>
      <c r="E204" s="1" t="n">
        <v>46224</v>
      </c>
      <c r="F204" t="inlineStr">
        <is>
          <t>VÄSTRA GÖTALANDS LÄN</t>
        </is>
      </c>
      <c r="G204" t="inlineStr">
        <is>
          <t>SKÖVDE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2858-2024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45315</v>
      </c>
      <c r="E205" s="1" t="n">
        <v>46224</v>
      </c>
      <c r="F205" t="inlineStr">
        <is>
          <t>VÄSTRA GÖTALANDS LÄN</t>
        </is>
      </c>
      <c r="G205" t="inlineStr">
        <is>
          <t>SKÖVDE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14552-2023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45013</v>
      </c>
      <c r="E206" s="1" t="n">
        <v>46224</v>
      </c>
      <c r="F206" t="inlineStr">
        <is>
          <t>VÄSTRA GÖTALANDS LÄN</t>
        </is>
      </c>
      <c r="G206" t="inlineStr">
        <is>
          <t>SKÖVDE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47466-2024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45586</v>
      </c>
      <c r="E207" s="1" t="n">
        <v>46224</v>
      </c>
      <c r="F207" t="inlineStr">
        <is>
          <t>VÄSTRA GÖTALANDS LÄN</t>
        </is>
      </c>
      <c r="G207" t="inlineStr">
        <is>
          <t>SKÖVDE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25168-2023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45086</v>
      </c>
      <c r="E208" s="1" t="n">
        <v>46224</v>
      </c>
      <c r="F208" t="inlineStr">
        <is>
          <t>VÄSTRA GÖTALANDS LÄN</t>
        </is>
      </c>
      <c r="G208" t="inlineStr">
        <is>
          <t>SKÖVDE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18936-2026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46129</v>
      </c>
      <c r="E209" s="1" t="n">
        <v>46224</v>
      </c>
      <c r="F209" t="inlineStr">
        <is>
          <t>VÄSTRA GÖTALANDS LÄN</t>
        </is>
      </c>
      <c r="G209" t="inlineStr">
        <is>
          <t>SKÖVDE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13669-2023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45006</v>
      </c>
      <c r="E210" s="1" t="n">
        <v>46224</v>
      </c>
      <c r="F210" t="inlineStr">
        <is>
          <t>VÄSTRA GÖTALANDS LÄN</t>
        </is>
      </c>
      <c r="G210" t="inlineStr">
        <is>
          <t>SKÖVDE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39993-2025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45894</v>
      </c>
      <c r="E211" s="1" t="n">
        <v>46224</v>
      </c>
      <c r="F211" t="inlineStr">
        <is>
          <t>VÄSTRA GÖTALANDS LÄN</t>
        </is>
      </c>
      <c r="G211" t="inlineStr">
        <is>
          <t>SKÖVDE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41942-2021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44425</v>
      </c>
      <c r="E212" s="1" t="n">
        <v>46224</v>
      </c>
      <c r="F212" t="inlineStr">
        <is>
          <t>VÄSTRA GÖTALANDS LÄN</t>
        </is>
      </c>
      <c r="G212" t="inlineStr">
        <is>
          <t>SKÖVDE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34834-2022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44796</v>
      </c>
      <c r="E213" s="1" t="n">
        <v>46224</v>
      </c>
      <c r="F213" t="inlineStr">
        <is>
          <t>VÄSTRA GÖTALANDS LÄN</t>
        </is>
      </c>
      <c r="G213" t="inlineStr">
        <is>
          <t>SKÖVDE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45685</v>
      </c>
      <c r="E214" s="1" t="n">
        <v>46224</v>
      </c>
      <c r="F214" t="inlineStr">
        <is>
          <t>VÄSTRA GÖTALANDS LÄN</t>
        </is>
      </c>
      <c r="G214" t="inlineStr">
        <is>
          <t>SKÖVDE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34592-2025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45847</v>
      </c>
      <c r="E215" s="1" t="n">
        <v>46224</v>
      </c>
      <c r="F215" t="inlineStr">
        <is>
          <t>VÄSTRA GÖTALANDS LÄN</t>
        </is>
      </c>
      <c r="G215" t="inlineStr">
        <is>
          <t>SKÖVDE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45693</v>
      </c>
      <c r="E216" s="1" t="n">
        <v>46224</v>
      </c>
      <c r="F216" t="inlineStr">
        <is>
          <t>VÄSTRA GÖTALANDS LÄN</t>
        </is>
      </c>
      <c r="G216" t="inlineStr">
        <is>
          <t>SKÖVDE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23447-2023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45076</v>
      </c>
      <c r="E217" s="1" t="n">
        <v>46224</v>
      </c>
      <c r="F217" t="inlineStr">
        <is>
          <t>VÄSTRA GÖTALANDS LÄN</t>
        </is>
      </c>
      <c r="G217" t="inlineStr">
        <is>
          <t>SKÖVDE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14624-2025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45742</v>
      </c>
      <c r="E218" s="1" t="n">
        <v>46224</v>
      </c>
      <c r="F218" t="inlineStr">
        <is>
          <t>VÄSTRA GÖTALANDS LÄN</t>
        </is>
      </c>
      <c r="G218" t="inlineStr">
        <is>
          <t>SKÖVDE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5995-2022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44599</v>
      </c>
      <c r="E219" s="1" t="n">
        <v>46224</v>
      </c>
      <c r="F219" t="inlineStr">
        <is>
          <t>VÄSTRA GÖTALANDS LÄN</t>
        </is>
      </c>
      <c r="G219" t="inlineStr">
        <is>
          <t>SKÖVDE</t>
        </is>
      </c>
      <c r="H219" t="inlineStr">
        <is>
          <t>Kyrkan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29217-2022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44750</v>
      </c>
      <c r="E220" s="1" t="n">
        <v>46224</v>
      </c>
      <c r="F220" t="inlineStr">
        <is>
          <t>VÄSTRA GÖTALANDS LÄN</t>
        </is>
      </c>
      <c r="G220" t="inlineStr">
        <is>
          <t>SKÖVDE</t>
        </is>
      </c>
      <c r="H220" t="inlineStr">
        <is>
          <t>Kommuner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12162-2022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44636</v>
      </c>
      <c r="E221" s="1" t="n">
        <v>46224</v>
      </c>
      <c r="F221" t="inlineStr">
        <is>
          <t>VÄSTRA GÖTALANDS LÄN</t>
        </is>
      </c>
      <c r="G221" t="inlineStr">
        <is>
          <t>SKÖVDE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11917-2024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45376</v>
      </c>
      <c r="E222" s="1" t="n">
        <v>46224</v>
      </c>
      <c r="F222" t="inlineStr">
        <is>
          <t>VÄSTRA GÖTALANDS LÄN</t>
        </is>
      </c>
      <c r="G222" t="inlineStr">
        <is>
          <t>SKÖVDE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51886-2021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44462</v>
      </c>
      <c r="E223" s="1" t="n">
        <v>46224</v>
      </c>
      <c r="F223" t="inlineStr">
        <is>
          <t>VÄSTRA GÖTALANDS LÄN</t>
        </is>
      </c>
      <c r="G223" t="inlineStr">
        <is>
          <t>SKÖVDE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29248-2023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45105</v>
      </c>
      <c r="E224" s="1" t="n">
        <v>46224</v>
      </c>
      <c r="F224" t="inlineStr">
        <is>
          <t>VÄSTRA GÖTALANDS LÄN</t>
        </is>
      </c>
      <c r="G224" t="inlineStr">
        <is>
          <t>SKÖVDE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26365-2026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46182</v>
      </c>
      <c r="E225" s="1" t="n">
        <v>46224</v>
      </c>
      <c r="F225" t="inlineStr">
        <is>
          <t>VÄSTRA GÖTALANDS LÄN</t>
        </is>
      </c>
      <c r="G225" t="inlineStr">
        <is>
          <t>SKÖVDE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2708-2024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45314</v>
      </c>
      <c r="E226" s="1" t="n">
        <v>46224</v>
      </c>
      <c r="F226" t="inlineStr">
        <is>
          <t>VÄSTRA GÖTALANDS LÄN</t>
        </is>
      </c>
      <c r="G226" t="inlineStr">
        <is>
          <t>SKÖVDE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60587-2023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45259</v>
      </c>
      <c r="E227" s="1" t="n">
        <v>46224</v>
      </c>
      <c r="F227" t="inlineStr">
        <is>
          <t>VÄSTRA GÖTALANDS LÄN</t>
        </is>
      </c>
      <c r="G227" t="inlineStr">
        <is>
          <t>SKÖVDE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26364-2026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46182</v>
      </c>
      <c r="E228" s="1" t="n">
        <v>46224</v>
      </c>
      <c r="F228" t="inlineStr">
        <is>
          <t>VÄSTRA GÖTALANDS LÄN</t>
        </is>
      </c>
      <c r="G228" t="inlineStr">
        <is>
          <t>SKÖVDE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44938</v>
      </c>
      <c r="E229" s="1" t="n">
        <v>46224</v>
      </c>
      <c r="F229" t="inlineStr">
        <is>
          <t>VÄSTRA GÖTALANDS LÄN</t>
        </is>
      </c>
      <c r="G229" t="inlineStr">
        <is>
          <t>SKÖVDE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26804-2026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46185</v>
      </c>
      <c r="E230" s="1" t="n">
        <v>46224</v>
      </c>
      <c r="F230" t="inlineStr">
        <is>
          <t>VÄSTRA GÖTALANDS LÄN</t>
        </is>
      </c>
      <c r="G230" t="inlineStr">
        <is>
          <t>SKÖVDE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26914-2026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46185</v>
      </c>
      <c r="E231" s="1" t="n">
        <v>46224</v>
      </c>
      <c r="F231" t="inlineStr">
        <is>
          <t>VÄSTRA GÖTALANDS LÄN</t>
        </is>
      </c>
      <c r="G231" t="inlineStr">
        <is>
          <t>SKÖVDE</t>
        </is>
      </c>
      <c r="I231" t="n">
        <v>7.1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40205-2022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44820</v>
      </c>
      <c r="E232" s="1" t="n">
        <v>46224</v>
      </c>
      <c r="F232" t="inlineStr">
        <is>
          <t>VÄSTRA GÖTALANDS LÄN</t>
        </is>
      </c>
      <c r="G232" t="inlineStr">
        <is>
          <t>SKÖVDE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45299</v>
      </c>
      <c r="E233" s="1" t="n">
        <v>46224</v>
      </c>
      <c r="F233" t="inlineStr">
        <is>
          <t>VÄSTRA GÖTALANDS LÄN</t>
        </is>
      </c>
      <c r="G233" t="inlineStr">
        <is>
          <t>SKÖVDE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21687-2026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46149</v>
      </c>
      <c r="E234" s="1" t="n">
        <v>46224</v>
      </c>
      <c r="F234" t="inlineStr">
        <is>
          <t>VÄSTRA GÖTALANDS LÄN</t>
        </is>
      </c>
      <c r="G234" t="inlineStr">
        <is>
          <t>SKÖVDE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40374-2023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45169</v>
      </c>
      <c r="E235" s="1" t="n">
        <v>46224</v>
      </c>
      <c r="F235" t="inlineStr">
        <is>
          <t>VÄSTRA GÖTALANDS LÄN</t>
        </is>
      </c>
      <c r="G235" t="inlineStr">
        <is>
          <t>SKÖVDE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26733-2023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45093</v>
      </c>
      <c r="E236" s="1" t="n">
        <v>46224</v>
      </c>
      <c r="F236" t="inlineStr">
        <is>
          <t>VÄSTRA GÖTALANDS LÄN</t>
        </is>
      </c>
      <c r="G236" t="inlineStr">
        <is>
          <t>SKÖVDE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48225-2024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45590</v>
      </c>
      <c r="E237" s="1" t="n">
        <v>46224</v>
      </c>
      <c r="F237" t="inlineStr">
        <is>
          <t>VÄSTRA GÖTALANDS LÄN</t>
        </is>
      </c>
      <c r="G237" t="inlineStr">
        <is>
          <t>SKÖVDE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40105-2021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44418</v>
      </c>
      <c r="E238" s="1" t="n">
        <v>46224</v>
      </c>
      <c r="F238" t="inlineStr">
        <is>
          <t>VÄSTRA GÖTALANDS LÄN</t>
        </is>
      </c>
      <c r="G238" t="inlineStr">
        <is>
          <t>SKÖVDE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47490-2024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45586</v>
      </c>
      <c r="E239" s="1" t="n">
        <v>46224</v>
      </c>
      <c r="F239" t="inlineStr">
        <is>
          <t>VÄSTRA GÖTALANDS LÄN</t>
        </is>
      </c>
      <c r="G239" t="inlineStr">
        <is>
          <t>SKÖVDE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24476-2023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45082</v>
      </c>
      <c r="E240" s="1" t="n">
        <v>46224</v>
      </c>
      <c r="F240" t="inlineStr">
        <is>
          <t>VÄSTRA GÖTALANDS LÄN</t>
        </is>
      </c>
      <c r="G240" t="inlineStr">
        <is>
          <t>SKÖVDE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4600-2025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45687</v>
      </c>
      <c r="E241" s="1" t="n">
        <v>46224</v>
      </c>
      <c r="F241" t="inlineStr">
        <is>
          <t>VÄSTRA GÖTALANDS LÄN</t>
        </is>
      </c>
      <c r="G241" t="inlineStr">
        <is>
          <t>SKÖVDE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34211-2023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45138</v>
      </c>
      <c r="E242" s="1" t="n">
        <v>46224</v>
      </c>
      <c r="F242" t="inlineStr">
        <is>
          <t>VÄSTRA GÖTALANDS LÄN</t>
        </is>
      </c>
      <c r="G242" t="inlineStr">
        <is>
          <t>SKÖVDE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34528-2023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45134</v>
      </c>
      <c r="E243" s="1" t="n">
        <v>46224</v>
      </c>
      <c r="F243" t="inlineStr">
        <is>
          <t>VÄSTRA GÖTALANDS LÄN</t>
        </is>
      </c>
      <c r="G243" t="inlineStr">
        <is>
          <t>SKÖVDE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29177-2026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46202</v>
      </c>
      <c r="E244" s="1" t="n">
        <v>46224</v>
      </c>
      <c r="F244" t="inlineStr">
        <is>
          <t>VÄSTRA GÖTALANDS LÄN</t>
        </is>
      </c>
      <c r="G244" t="inlineStr">
        <is>
          <t>SKÖVDE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48336-2024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45590</v>
      </c>
      <c r="E245" s="1" t="n">
        <v>46224</v>
      </c>
      <c r="F245" t="inlineStr">
        <is>
          <t>VÄSTRA GÖTALANDS LÄN</t>
        </is>
      </c>
      <c r="G245" t="inlineStr">
        <is>
          <t>SKÖVDE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17798-2024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45418</v>
      </c>
      <c r="E246" s="1" t="n">
        <v>46224</v>
      </c>
      <c r="F246" t="inlineStr">
        <is>
          <t>VÄSTRA GÖTALANDS LÄN</t>
        </is>
      </c>
      <c r="G246" t="inlineStr">
        <is>
          <t>SKÖVDE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20190-2026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46139</v>
      </c>
      <c r="E247" s="1" t="n">
        <v>46224</v>
      </c>
      <c r="F247" t="inlineStr">
        <is>
          <t>VÄSTRA GÖTALANDS LÄN</t>
        </is>
      </c>
      <c r="G247" t="inlineStr">
        <is>
          <t>SKÖVDE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62269-2023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45267</v>
      </c>
      <c r="E248" s="1" t="n">
        <v>46224</v>
      </c>
      <c r="F248" t="inlineStr">
        <is>
          <t>VÄSTRA GÖTALANDS LÄN</t>
        </is>
      </c>
      <c r="G248" t="inlineStr">
        <is>
          <t>SKÖVDE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952-2024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45301</v>
      </c>
      <c r="E249" s="1" t="n">
        <v>46224</v>
      </c>
      <c r="F249" t="inlineStr">
        <is>
          <t>VÄSTRA GÖTALANDS LÄN</t>
        </is>
      </c>
      <c r="G249" t="inlineStr">
        <is>
          <t>SKÖVDE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2901-2026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46038</v>
      </c>
      <c r="E250" s="1" t="n">
        <v>46224</v>
      </c>
      <c r="F250" t="inlineStr">
        <is>
          <t>VÄSTRA GÖTALANDS LÄN</t>
        </is>
      </c>
      <c r="G250" t="inlineStr">
        <is>
          <t>SKÖVDE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38048-2022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44811</v>
      </c>
      <c r="E251" s="1" t="n">
        <v>46224</v>
      </c>
      <c r="F251" t="inlineStr">
        <is>
          <t>VÄSTRA GÖTALANDS LÄN</t>
        </is>
      </c>
      <c r="G251" t="inlineStr">
        <is>
          <t>SKÖVDE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7869-2025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45706</v>
      </c>
      <c r="E252" s="1" t="n">
        <v>46224</v>
      </c>
      <c r="F252" t="inlineStr">
        <is>
          <t>VÄSTRA GÖTALANDS LÄN</t>
        </is>
      </c>
      <c r="G252" t="inlineStr">
        <is>
          <t>SKÖVDE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49300-2023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45210</v>
      </c>
      <c r="E253" s="1" t="n">
        <v>46224</v>
      </c>
      <c r="F253" t="inlineStr">
        <is>
          <t>VÄSTRA GÖTALANDS LÄN</t>
        </is>
      </c>
      <c r="G253" t="inlineStr">
        <is>
          <t>SKÖVDE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13178-2023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45002</v>
      </c>
      <c r="E254" s="1" t="n">
        <v>46224</v>
      </c>
      <c r="F254" t="inlineStr">
        <is>
          <t>VÄSTRA GÖTALANDS LÄN</t>
        </is>
      </c>
      <c r="G254" t="inlineStr">
        <is>
          <t>SKÖVDE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7870-2025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45706</v>
      </c>
      <c r="E255" s="1" t="n">
        <v>46224</v>
      </c>
      <c r="F255" t="inlineStr">
        <is>
          <t>VÄSTRA GÖTALANDS LÄN</t>
        </is>
      </c>
      <c r="G255" t="inlineStr">
        <is>
          <t>SKÖVDE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40995-2022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44825</v>
      </c>
      <c r="E256" s="1" t="n">
        <v>46224</v>
      </c>
      <c r="F256" t="inlineStr">
        <is>
          <t>VÄSTRA GÖTALANDS LÄN</t>
        </is>
      </c>
      <c r="G256" t="inlineStr">
        <is>
          <t>SKÖVDE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48338-2024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45590</v>
      </c>
      <c r="E257" s="1" t="n">
        <v>46224</v>
      </c>
      <c r="F257" t="inlineStr">
        <is>
          <t>VÄSTRA GÖTALANDS LÄN</t>
        </is>
      </c>
      <c r="G257" t="inlineStr">
        <is>
          <t>SKÖVDE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24914-2026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46174</v>
      </c>
      <c r="E258" s="1" t="n">
        <v>46224</v>
      </c>
      <c r="F258" t="inlineStr">
        <is>
          <t>VÄSTRA GÖTALANDS LÄN</t>
        </is>
      </c>
      <c r="G258" t="inlineStr">
        <is>
          <t>SKÖVDE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36556-2022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44804</v>
      </c>
      <c r="E259" s="1" t="n">
        <v>46224</v>
      </c>
      <c r="F259" t="inlineStr">
        <is>
          <t>VÄSTRA GÖTALANDS LÄN</t>
        </is>
      </c>
      <c r="G259" t="inlineStr">
        <is>
          <t>SKÖVDE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26117-2026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46181</v>
      </c>
      <c r="E260" s="1" t="n">
        <v>46224</v>
      </c>
      <c r="F260" t="inlineStr">
        <is>
          <t>VÄSTRA GÖTALANDS LÄN</t>
        </is>
      </c>
      <c r="G260" t="inlineStr">
        <is>
          <t>SKÖVDE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37656-2023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45159</v>
      </c>
      <c r="E261" s="1" t="n">
        <v>46224</v>
      </c>
      <c r="F261" t="inlineStr">
        <is>
          <t>VÄSTRA GÖTALANDS LÄN</t>
        </is>
      </c>
      <c r="G261" t="inlineStr">
        <is>
          <t>SKÖVDE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1636-2024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45306</v>
      </c>
      <c r="E262" s="1" t="n">
        <v>46224</v>
      </c>
      <c r="F262" t="inlineStr">
        <is>
          <t>VÄSTRA GÖTALANDS LÄN</t>
        </is>
      </c>
      <c r="G262" t="inlineStr">
        <is>
          <t>SKÖVDE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10559-2025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45721</v>
      </c>
      <c r="E263" s="1" t="n">
        <v>46224</v>
      </c>
      <c r="F263" t="inlineStr">
        <is>
          <t>VÄSTRA GÖTALANDS LÄN</t>
        </is>
      </c>
      <c r="G263" t="inlineStr">
        <is>
          <t>SKÖVDE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2917-2024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45315</v>
      </c>
      <c r="E264" s="1" t="n">
        <v>46224</v>
      </c>
      <c r="F264" t="inlineStr">
        <is>
          <t>VÄSTRA GÖTALANDS LÄN</t>
        </is>
      </c>
      <c r="G264" t="inlineStr">
        <is>
          <t>SKÖVDE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13901-2025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45737</v>
      </c>
      <c r="E265" s="1" t="n">
        <v>46224</v>
      </c>
      <c r="F265" t="inlineStr">
        <is>
          <t>VÄSTRA GÖTALANDS LÄN</t>
        </is>
      </c>
      <c r="G265" t="inlineStr">
        <is>
          <t>SKÖVDE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38903-2024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45547</v>
      </c>
      <c r="E266" s="1" t="n">
        <v>46224</v>
      </c>
      <c r="F266" t="inlineStr">
        <is>
          <t>VÄSTRA GÖTALANDS LÄN</t>
        </is>
      </c>
      <c r="G266" t="inlineStr">
        <is>
          <t>SKÖVDE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20602-2025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45775</v>
      </c>
      <c r="E267" s="1" t="n">
        <v>46224</v>
      </c>
      <c r="F267" t="inlineStr">
        <is>
          <t>VÄSTRA GÖTALANDS LÄN</t>
        </is>
      </c>
      <c r="G267" t="inlineStr">
        <is>
          <t>SKÖVDE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815-2023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44986</v>
      </c>
      <c r="E268" s="1" t="n">
        <v>46224</v>
      </c>
      <c r="F268" t="inlineStr">
        <is>
          <t>VÄSTRA GÖTALANDS LÄN</t>
        </is>
      </c>
      <c r="G268" t="inlineStr">
        <is>
          <t>SKÖVDE</t>
        </is>
      </c>
      <c r="H268" t="inlineStr">
        <is>
          <t>Kyrkan</t>
        </is>
      </c>
      <c r="I268" t="n">
        <v>74.5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  <c r="Z268">
        <f>HYPERLINK("https://klasma.github.io/Logging_1496/knärot/S 815-2023 karta knärot.png", "S 815-2023")</f>
        <v/>
      </c>
      <c r="AA268">
        <f>HYPERLINK("https://klasma.github.io/Logging_1496/klagomål/S 815-2023 FSC-klagomål.docx", "S 815-2023")</f>
        <v/>
      </c>
      <c r="AB268">
        <f>HYPERLINK("https://klasma.github.io/Logging_1496/klagomålsmail/S 815-2023 FSC-klagomål mail.docx", "S 815-2023")</f>
        <v/>
      </c>
      <c r="AC268">
        <f>HYPERLINK("https://klasma.github.io/Logging_1496/tillsyn/S 815-2023 tillsynsbegäran.docx", "S 815-2023")</f>
        <v/>
      </c>
      <c r="AD268">
        <f>HYPERLINK("https://klasma.github.io/Logging_1496/tillsynsmail/S 815-2023 tillsynsbegäran mail.docx", "S 815-2023")</f>
        <v/>
      </c>
    </row>
    <row r="269">
      <c r="A269" t="inlineStr">
        <is>
          <t>S 668-2025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45716</v>
      </c>
      <c r="E269" s="1" t="n">
        <v>46224</v>
      </c>
      <c r="F269" t="inlineStr">
        <is>
          <t>VÄSTRA GÖTALANDS LÄN</t>
        </is>
      </c>
      <c r="G269" t="inlineStr">
        <is>
          <t>SKÖVDE</t>
        </is>
      </c>
      <c r="I269" t="n">
        <v>10.3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2026-07-21T01:35:29Z</dcterms:created>
  <dcterms:modified xmlns:dcterms="http://purl.org/dc/terms/" xmlns:xsi="http://www.w3.org/2001/XMLSchema-instance" xsi:type="dcterms:W3CDTF">2026-07-21T01:35:29Z</dcterms:modified>
</cp:coreProperties>
</file>