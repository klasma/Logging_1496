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46259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46259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46259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46259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46259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46259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46259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46259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46259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46259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57163-2025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46259</v>
      </c>
      <c r="F18" t="inlineStr">
        <is>
          <t>VÄSTRA GÖTALANDS LÄN</t>
        </is>
      </c>
      <c r="G18" t="inlineStr">
        <is>
          <t>SKÖVDE</t>
        </is>
      </c>
      <c r="I18" t="n">
        <v>2.8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Knärot
Dropptaggsvamp
Motaggsvamp
Orange taggsvamp</t>
        </is>
      </c>
      <c r="W18">
        <f>HYPERLINK("https://klasma.github.io/Logging_1496/artfynd/A 57163-2025 artfynd.xlsx", "A 57163-2025")</f>
        <v/>
      </c>
      <c r="X18">
        <f>HYPERLINK("https://klasma.github.io/Logging_1496/kartor/A 57163-2025 karta.png", "A 57163-2025")</f>
        <v/>
      </c>
      <c r="Y18">
        <f>HYPERLINK("https://klasma.github.io/Logging_1496/kartor_geotiff/A 57163-2025 georefererad karta.tif", "A 57163-2025")</f>
        <v/>
      </c>
      <c r="Z18">
        <f>HYPERLINK("https://klasma.github.io/Logging_1496/knärot/A 57163-2025 karta knärot.png", "A 57163-2025")</f>
        <v/>
      </c>
      <c r="AA18">
        <f>HYPERLINK("https://klasma.github.io/Logging_1496/klagomål/A 57163-2025 FSC-klagomål.docx", "A 57163-2025")</f>
        <v/>
      </c>
      <c r="AB18">
        <f>HYPERLINK("https://klasma.github.io/Logging_1496/klagomålsmail/A 57163-2025 FSC-klagomål mail.docx", "A 57163-2025")</f>
        <v/>
      </c>
      <c r="AC18">
        <f>HYPERLINK("https://klasma.github.io/Logging_1496/tillsyn/A 57163-2025 tillsynsbegäran.docx", "A 57163-2025")</f>
        <v/>
      </c>
      <c r="AD18">
        <f>HYPERLINK("https://klasma.github.io/Logging_1496/tillsynsmail/A 57163-2025 tillsynsbegäran mail.docx", "A 57163-2025")</f>
        <v/>
      </c>
    </row>
    <row r="19" ht="15" customHeight="1">
      <c r="A19" t="inlineStr">
        <is>
          <t>A 2579-2023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46259</v>
      </c>
      <c r="F19" t="inlineStr">
        <is>
          <t>VÄSTRA GÖTALANDS LÄN</t>
        </is>
      </c>
      <c r="G19" t="inlineStr">
        <is>
          <t>SKÖVDE</t>
        </is>
      </c>
      <c r="I19" t="n">
        <v>5.3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Skogsknipprot
Svart trolldruva
Fläcknycklar</t>
        </is>
      </c>
      <c r="W19">
        <f>HYPERLINK("https://klasma.github.io/Logging_1496/artfynd/A 2579-2023 artfynd.xlsx", "A 2579-2023")</f>
        <v/>
      </c>
      <c r="X19">
        <f>HYPERLINK("https://klasma.github.io/Logging_1496/kartor/A 2579-2023 karta.png", "A 2579-2023")</f>
        <v/>
      </c>
      <c r="Y19">
        <f>HYPERLINK("https://klasma.github.io/Logging_1496/kartor_geotiff/A 2579-2023 georefererad karta.tif", "A 2579-2023")</f>
        <v/>
      </c>
      <c r="AA19">
        <f>HYPERLINK("https://klasma.github.io/Logging_1496/klagomål/A 2579-2023 FSC-klagomål.docx", "A 2579-2023")</f>
        <v/>
      </c>
      <c r="AB19">
        <f>HYPERLINK("https://klasma.github.io/Logging_1496/klagomålsmail/A 2579-2023 FSC-klagomål mail.docx", "A 2579-2023")</f>
        <v/>
      </c>
      <c r="AC19">
        <f>HYPERLINK("https://klasma.github.io/Logging_1496/tillsyn/A 2579-2023 tillsynsbegäran.docx", "A 2579-2023")</f>
        <v/>
      </c>
      <c r="AD19">
        <f>HYPERLINK("https://klasma.github.io/Logging_1496/tillsynsmail/A 2579-2023 tillsynsbegäran mail.docx", "A 2579-2023")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46259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43859-2022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44837</v>
      </c>
      <c r="E21" s="1" t="n">
        <v>46259</v>
      </c>
      <c r="F21" t="inlineStr">
        <is>
          <t>VÄSTRA GÖTALANDS LÄN</t>
        </is>
      </c>
      <c r="G21" t="inlineStr">
        <is>
          <t>SKÖVDE</t>
        </is>
      </c>
      <c r="I21" t="n">
        <v>1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Gullklöver
Strandlummer
Mattlummer</t>
        </is>
      </c>
      <c r="W21">
        <f>HYPERLINK("https://klasma.github.io/Logging_1496/artfynd/A 43859-2022 artfynd.xlsx", "A 43859-2022")</f>
        <v/>
      </c>
      <c r="X21">
        <f>HYPERLINK("https://klasma.github.io/Logging_1496/kartor/A 43859-2022 karta.png", "A 43859-2022")</f>
        <v/>
      </c>
      <c r="Y21">
        <f>HYPERLINK("https://klasma.github.io/Logging_1496/kartor_geotiff/A 43859-2022 georefererad karta.tif", "A 43859-2022")</f>
        <v/>
      </c>
      <c r="AA21">
        <f>HYPERLINK("https://klasma.github.io/Logging_1496/klagomål/A 43859-2022 FSC-klagomål.docx", "A 43859-2022")</f>
        <v/>
      </c>
      <c r="AB21">
        <f>HYPERLINK("https://klasma.github.io/Logging_1496/klagomålsmail/A 43859-2022 FSC-klagomål mail.docx", "A 43859-2022")</f>
        <v/>
      </c>
      <c r="AC21">
        <f>HYPERLINK("https://klasma.github.io/Logging_1496/tillsyn/A 43859-2022 tillsynsbegäran.docx", "A 43859-2022")</f>
        <v/>
      </c>
      <c r="AD21">
        <f>HYPERLINK("https://klasma.github.io/Logging_1496/tillsynsmail/A 43859-2022 tillsynsbegäran mail.docx", "A 43859-2022")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46259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46259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46259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46259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46259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46259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46259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46259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47429-2021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44447</v>
      </c>
      <c r="E30" s="1" t="n">
        <v>46259</v>
      </c>
      <c r="F30" t="inlineStr">
        <is>
          <t>VÄSTRA GÖTALANDS LÄN</t>
        </is>
      </c>
      <c r="G30" t="inlineStr">
        <is>
          <t>SKÖVDE</t>
        </is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Svart trolldruva
Tibast</t>
        </is>
      </c>
      <c r="W30">
        <f>HYPERLINK("https://klasma.github.io/Logging_1496/artfynd/A 47429-2021 artfynd.xlsx", "A 47429-2021")</f>
        <v/>
      </c>
      <c r="X30">
        <f>HYPERLINK("https://klasma.github.io/Logging_1496/kartor/A 47429-2021 karta.png", "A 47429-2021")</f>
        <v/>
      </c>
      <c r="Y30">
        <f>HYPERLINK("https://klasma.github.io/Logging_1496/kartor_geotiff/A 47429-2021 georefererad karta.tif", "A 47429-2021")</f>
        <v/>
      </c>
      <c r="AA30">
        <f>HYPERLINK("https://klasma.github.io/Logging_1496/klagomål/A 47429-2021 FSC-klagomål.docx", "A 47429-2021")</f>
        <v/>
      </c>
      <c r="AB30">
        <f>HYPERLINK("https://klasma.github.io/Logging_1496/klagomålsmail/A 47429-2021 FSC-klagomål mail.docx", "A 47429-2021")</f>
        <v/>
      </c>
      <c r="AC30">
        <f>HYPERLINK("https://klasma.github.io/Logging_1496/tillsyn/A 47429-2021 tillsynsbegäran.docx", "A 47429-2021")</f>
        <v/>
      </c>
      <c r="AD30">
        <f>HYPERLINK("https://klasma.github.io/Logging_1496/tillsynsmail/A 47429-2021 tillsynsbegäran mail.docx", "A 47429-2021")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46259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42017-2025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46259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Borsttåg
Mattlummer</t>
        </is>
      </c>
      <c r="W32">
        <f>HYPERLINK("https://klasma.github.io/Logging_1496/artfynd/A 42017-2025 artfynd.xlsx", "A 42017-2025")</f>
        <v/>
      </c>
      <c r="X32">
        <f>HYPERLINK("https://klasma.github.io/Logging_1496/kartor/A 42017-2025 karta.png", "A 42017-2025")</f>
        <v/>
      </c>
      <c r="Y32">
        <f>HYPERLINK("https://klasma.github.io/Logging_1496/kartor_geotiff/A 42017-2025 georefererad karta.tif", "A 42017-2025")</f>
        <v/>
      </c>
      <c r="AA32">
        <f>HYPERLINK("https://klasma.github.io/Logging_1496/klagomål/A 42017-2025 FSC-klagomål.docx", "A 42017-2025")</f>
        <v/>
      </c>
      <c r="AB32">
        <f>HYPERLINK("https://klasma.github.io/Logging_1496/klagomålsmail/A 42017-2025 FSC-klagomål mail.docx", "A 42017-2025")</f>
        <v/>
      </c>
      <c r="AC32">
        <f>HYPERLINK("https://klasma.github.io/Logging_1496/tillsyn/A 42017-2025 tillsynsbegäran.docx", "A 42017-2025")</f>
        <v/>
      </c>
      <c r="AD32">
        <f>HYPERLINK("https://klasma.github.io/Logging_1496/tillsynsmail/A 42017-2025 tillsynsbegäran mail.docx", "A 42017-2025")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46259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46259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46259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29222-2022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44750</v>
      </c>
      <c r="E36" s="1" t="n">
        <v>46259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Lundbräsma
Strutbräken</t>
        </is>
      </c>
      <c r="W36">
        <f>HYPERLINK("https://klasma.github.io/Logging_1496/artfynd/A 29222-2022 artfynd.xlsx", "A 29222-2022")</f>
        <v/>
      </c>
      <c r="X36">
        <f>HYPERLINK("https://klasma.github.io/Logging_1496/kartor/A 29222-2022 karta.png", "A 29222-2022")</f>
        <v/>
      </c>
      <c r="Y36">
        <f>HYPERLINK("https://klasma.github.io/Logging_1496/kartor_geotiff/A 29222-2022 georefererad karta.tif", "A 29222-2022")</f>
        <v/>
      </c>
      <c r="AA36">
        <f>HYPERLINK("https://klasma.github.io/Logging_1496/klagomål/A 29222-2022 FSC-klagomål.docx", "A 29222-2022")</f>
        <v/>
      </c>
      <c r="AB36">
        <f>HYPERLINK("https://klasma.github.io/Logging_1496/klagomålsmail/A 29222-2022 FSC-klagomål mail.docx", "A 29222-2022")</f>
        <v/>
      </c>
      <c r="AC36">
        <f>HYPERLINK("https://klasma.github.io/Logging_1496/tillsyn/A 29222-2022 tillsynsbegäran.docx", "A 29222-2022")</f>
        <v/>
      </c>
      <c r="AD36">
        <f>HYPERLINK("https://klasma.github.io/Logging_1496/tillsynsmail/A 29222-2022 tillsynsbegäran mail.docx", "A 29222-2022")</f>
        <v/>
      </c>
    </row>
    <row r="37" ht="15" customHeight="1">
      <c r="A37" t="inlineStr">
        <is>
          <t>A 55642-2025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46259</v>
      </c>
      <c r="F37" t="inlineStr">
        <is>
          <t>VÄSTRA GÖTALANDS LÄN</t>
        </is>
      </c>
      <c r="G37" t="inlineStr">
        <is>
          <t>SKÖVDE</t>
        </is>
      </c>
      <c r="I37" t="n">
        <v>1.6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HYPERLINK("https://klasma.github.io/Logging_1496/artfynd/A 55642-2025 artfynd.xlsx", "A 55642-2025")</f>
        <v/>
      </c>
      <c r="X37">
        <f>HYPERLINK("https://klasma.github.io/Logging_1496/kartor/A 55642-2025 karta.png", "A 55642-2025")</f>
        <v/>
      </c>
      <c r="Y37">
        <f>HYPERLINK("https://klasma.github.io/Logging_1496/kartor_geotiff/A 55642-2025 georefererad karta.tif", "A 55642-2025")</f>
        <v/>
      </c>
      <c r="AA37">
        <f>HYPERLINK("https://klasma.github.io/Logging_1496/klagomål/A 55642-2025 FSC-klagomål.docx", "A 55642-2025")</f>
        <v/>
      </c>
      <c r="AB37">
        <f>HYPERLINK("https://klasma.github.io/Logging_1496/klagomålsmail/A 55642-2025 FSC-klagomål mail.docx", "A 55642-2025")</f>
        <v/>
      </c>
      <c r="AC37">
        <f>HYPERLINK("https://klasma.github.io/Logging_1496/tillsyn/A 55642-2025 tillsynsbegäran.docx", "A 55642-2025")</f>
        <v/>
      </c>
      <c r="AD37">
        <f>HYPERLINK("https://klasma.github.io/Logging_1496/tillsynsmail/A 55642-2025 tillsynsbegäran mail.docx", "A 55642-2025")</f>
        <v/>
      </c>
    </row>
    <row r="38" ht="15" customHeight="1">
      <c r="A38" t="inlineStr">
        <is>
          <t>A 26907-2026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46185</v>
      </c>
      <c r="E38" s="1" t="n">
        <v>46259</v>
      </c>
      <c r="F38" t="inlineStr">
        <is>
          <t>VÄSTRA GÖTALANDS LÄN</t>
        </is>
      </c>
      <c r="G38" t="inlineStr">
        <is>
          <t>SKÖVDE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3</v>
      </c>
      <c r="U38" t="n">
        <v>0</v>
      </c>
      <c r="V38" s="2" t="inlineStr">
        <is>
          <t>Ask
Skogsalm</t>
        </is>
      </c>
      <c r="W38">
        <f>HYPERLINK("https://klasma.github.io/Logging_1496/artfynd/A 26907-2026 artfynd.xlsx", "A 26907-2026")</f>
        <v/>
      </c>
      <c r="X38">
        <f>HYPERLINK("https://klasma.github.io/Logging_1496/kartor/A 26907-2026 karta.png", "A 26907-2026")</f>
        <v/>
      </c>
      <c r="Y38">
        <f>HYPERLINK("https://klasma.github.io/Logging_1496/kartor_geotiff/A 26907-2026 georefererad karta.tif", "A 26907-2026")</f>
        <v/>
      </c>
      <c r="AA38">
        <f>HYPERLINK("https://klasma.github.io/Logging_1496/klagomål/A 26907-2026 FSC-klagomål.docx", "A 26907-2026")</f>
        <v/>
      </c>
      <c r="AB38">
        <f>HYPERLINK("https://klasma.github.io/Logging_1496/klagomålsmail/A 26907-2026 FSC-klagomål mail.docx", "A 26907-2026")</f>
        <v/>
      </c>
      <c r="AC38">
        <f>HYPERLINK("https://klasma.github.io/Logging_1496/tillsyn/A 26907-2026 tillsynsbegäran.docx", "A 26907-2026")</f>
        <v/>
      </c>
      <c r="AD38">
        <f>HYPERLINK("https://klasma.github.io/Logging_1496/tillsynsmail/A 26907-2026 tillsynsbegäran mail.docx", "A 26907-2026")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46259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46259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46259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46259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46259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46259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46259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29011-2023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46259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5.4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29011-2023 artfynd.xlsx", "A 29011-2023")</f>
        <v/>
      </c>
      <c r="X46">
        <f>HYPERLINK("https://klasma.github.io/Logging_1496/kartor/A 29011-2023 karta.png", "A 29011-2023")</f>
        <v/>
      </c>
      <c r="Y46">
        <f>HYPERLINK("https://klasma.github.io/Logging_1496/kartor_geotiff/A 29011-2023 georefererad karta.tif", "A 29011-2023")</f>
        <v/>
      </c>
      <c r="AA46">
        <f>HYPERLINK("https://klasma.github.io/Logging_1496/klagomål/A 29011-2023 FSC-klagomål.docx", "A 29011-2023")</f>
        <v/>
      </c>
      <c r="AB46">
        <f>HYPERLINK("https://klasma.github.io/Logging_1496/klagomålsmail/A 29011-2023 FSC-klagomål mail.docx", "A 29011-2023")</f>
        <v/>
      </c>
      <c r="AC46">
        <f>HYPERLINK("https://klasma.github.io/Logging_1496/tillsyn/A 29011-2023 tillsynsbegäran.docx", "A 29011-2023")</f>
        <v/>
      </c>
      <c r="AD46">
        <f>HYPERLINK("https://klasma.github.io/Logging_1496/tillsynsmail/A 29011-2023 tillsynsbegäran mail.docx", "A 29011-2023")</f>
        <v/>
      </c>
    </row>
    <row r="47" ht="15" customHeight="1">
      <c r="A47" t="inlineStr">
        <is>
          <t>A 15417-2023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46259</v>
      </c>
      <c r="F47" t="inlineStr">
        <is>
          <t>VÄSTRA GÖTALANDS LÄN</t>
        </is>
      </c>
      <c r="G47" t="inlineStr">
        <is>
          <t>SKÖVDE</t>
        </is>
      </c>
      <c r="I47" t="n">
        <v>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Gullpudra</t>
        </is>
      </c>
      <c r="W47">
        <f>HYPERLINK("https://klasma.github.io/Logging_1496/artfynd/A 15417-2023 artfynd.xlsx", "A 15417-2023")</f>
        <v/>
      </c>
      <c r="X47">
        <f>HYPERLINK("https://klasma.github.io/Logging_1496/kartor/A 15417-2023 karta.png", "A 15417-2023")</f>
        <v/>
      </c>
      <c r="Y47">
        <f>HYPERLINK("https://klasma.github.io/Logging_1496/kartor_geotiff/A 15417-2023 georefererad karta.tif", "A 15417-2023")</f>
        <v/>
      </c>
      <c r="AA47">
        <f>HYPERLINK("https://klasma.github.io/Logging_1496/klagomål/A 15417-2023 FSC-klagomål.docx", "A 15417-2023")</f>
        <v/>
      </c>
      <c r="AB47">
        <f>HYPERLINK("https://klasma.github.io/Logging_1496/klagomålsmail/A 15417-2023 FSC-klagomål mail.docx", "A 15417-2023")</f>
        <v/>
      </c>
      <c r="AC47">
        <f>HYPERLINK("https://klasma.github.io/Logging_1496/tillsyn/A 15417-2023 tillsynsbegäran.docx", "A 15417-2023")</f>
        <v/>
      </c>
      <c r="AD47">
        <f>HYPERLINK("https://klasma.github.io/Logging_1496/tillsynsmail/A 15417-2023 tillsynsbegäran mail.docx", "A 15417-2023")</f>
        <v/>
      </c>
    </row>
    <row r="48" ht="15" customHeight="1">
      <c r="A48" t="inlineStr">
        <is>
          <t>A 10602-2023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44988</v>
      </c>
      <c r="E48" s="1" t="n">
        <v>46259</v>
      </c>
      <c r="F48" t="inlineStr">
        <is>
          <t>VÄSTRA GÖTALANDS LÄN</t>
        </is>
      </c>
      <c r="G48" t="inlineStr">
        <is>
          <t>SKÖVDE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10602-2023 artfynd.xlsx", "A 10602-2023")</f>
        <v/>
      </c>
      <c r="X48">
        <f>HYPERLINK("https://klasma.github.io/Logging_1496/kartor/A 10602-2023 karta.png", "A 10602-2023")</f>
        <v/>
      </c>
      <c r="Y48">
        <f>HYPERLINK("https://klasma.github.io/Logging_1496/kartor_geotiff/A 10602-2023 georefererad karta.tif", "A 10602-2023")</f>
        <v/>
      </c>
      <c r="AA48">
        <f>HYPERLINK("https://klasma.github.io/Logging_1496/klagomål/A 10602-2023 FSC-klagomål.docx", "A 10602-2023")</f>
        <v/>
      </c>
      <c r="AB48">
        <f>HYPERLINK("https://klasma.github.io/Logging_1496/klagomålsmail/A 10602-2023 FSC-klagomål mail.docx", "A 10602-2023")</f>
        <v/>
      </c>
      <c r="AC48">
        <f>HYPERLINK("https://klasma.github.io/Logging_1496/tillsyn/A 10602-2023 tillsynsbegäran.docx", "A 10602-2023")</f>
        <v/>
      </c>
      <c r="AD48">
        <f>HYPERLINK("https://klasma.github.io/Logging_1496/tillsynsmail/A 10602-2023 tillsynsbegäran mail.docx", "A 10602-2023")</f>
        <v/>
      </c>
    </row>
    <row r="49" ht="15" customHeight="1">
      <c r="A49" t="inlineStr">
        <is>
          <t>A 47898-2023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45204</v>
      </c>
      <c r="E49" s="1" t="n">
        <v>46259</v>
      </c>
      <c r="F49" t="inlineStr">
        <is>
          <t>VÄSTRA GÖTALANDS LÄN</t>
        </is>
      </c>
      <c r="G49" t="inlineStr">
        <is>
          <t>SKÖVDE</t>
        </is>
      </c>
      <c r="I49" t="n">
        <v>9.5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Karminticka</t>
        </is>
      </c>
      <c r="W49">
        <f>HYPERLINK("https://klasma.github.io/Logging_1496/artfynd/A 47898-2023 artfynd.xlsx", "A 47898-2023")</f>
        <v/>
      </c>
      <c r="X49">
        <f>HYPERLINK("https://klasma.github.io/Logging_1496/kartor/A 47898-2023 karta.png", "A 47898-2023")</f>
        <v/>
      </c>
      <c r="Y49">
        <f>HYPERLINK("https://klasma.github.io/Logging_1496/kartor_geotiff/A 47898-2023 georefererad karta.tif", "A 47898-2023")</f>
        <v/>
      </c>
      <c r="AA49">
        <f>HYPERLINK("https://klasma.github.io/Logging_1496/klagomål/A 47898-2023 FSC-klagomål.docx", "A 47898-2023")</f>
        <v/>
      </c>
      <c r="AB49">
        <f>HYPERLINK("https://klasma.github.io/Logging_1496/klagomålsmail/A 47898-2023 FSC-klagomål mail.docx", "A 47898-2023")</f>
        <v/>
      </c>
      <c r="AC49">
        <f>HYPERLINK("https://klasma.github.io/Logging_1496/tillsyn/A 47898-2023 tillsynsbegäran.docx", "A 47898-2023")</f>
        <v/>
      </c>
      <c r="AD49">
        <f>HYPERLINK("https://klasma.github.io/Logging_1496/tillsynsmail/A 47898-2023 tillsynsbegäran mail.docx", "A 47898-2023")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46259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46259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3951-2024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46259</v>
      </c>
      <c r="F52" t="inlineStr">
        <is>
          <t>VÄSTRA GÖTALANDS LÄN</t>
        </is>
      </c>
      <c r="G52" t="inlineStr">
        <is>
          <t>SKÖVDE</t>
        </is>
      </c>
      <c r="I52" t="n">
        <v>10.7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HYPERLINK("https://klasma.github.io/Logging_1496/artfynd/A 3951-2024 artfynd.xlsx", "A 3951-2024")</f>
        <v/>
      </c>
      <c r="X52">
        <f>HYPERLINK("https://klasma.github.io/Logging_1496/kartor/A 3951-2024 karta.png", "A 3951-2024")</f>
        <v/>
      </c>
      <c r="Y52">
        <f>HYPERLINK("https://klasma.github.io/Logging_1496/kartor_geotiff/A 3951-2024 georefererad karta.tif", "A 3951-2024")</f>
        <v/>
      </c>
      <c r="AA52">
        <f>HYPERLINK("https://klasma.github.io/Logging_1496/klagomål/A 3951-2024 FSC-klagomål.docx", "A 3951-2024")</f>
        <v/>
      </c>
      <c r="AB52">
        <f>HYPERLINK("https://klasma.github.io/Logging_1496/klagomålsmail/A 3951-2024 FSC-klagomål mail.docx", "A 3951-2024")</f>
        <v/>
      </c>
      <c r="AC52">
        <f>HYPERLINK("https://klasma.github.io/Logging_1496/tillsyn/A 3951-2024 tillsynsbegäran.docx", "A 3951-2024")</f>
        <v/>
      </c>
      <c r="AD52">
        <f>HYPERLINK("https://klasma.github.io/Logging_1496/tillsynsmail/A 3951-2024 tillsynsbegäran mail.docx", "A 3951-2024")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46259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46259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17452-2023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46259</v>
      </c>
      <c r="F55" t="inlineStr">
        <is>
          <t>VÄSTRA GÖTALANDS LÄN</t>
        </is>
      </c>
      <c r="G55" t="inlineStr">
        <is>
          <t>SKÖVDE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HYPERLINK("https://klasma.github.io/Logging_1496/artfynd/A 17452-2023 artfynd.xlsx", "A 17452-2023")</f>
        <v/>
      </c>
      <c r="X55">
        <f>HYPERLINK("https://klasma.github.io/Logging_1496/kartor/A 17452-2023 karta.png", "A 17452-2023")</f>
        <v/>
      </c>
      <c r="Y55">
        <f>HYPERLINK("https://klasma.github.io/Logging_1496/kartor_geotiff/A 17452-2023 georefererad karta.tif", "A 17452-2023")</f>
        <v/>
      </c>
      <c r="AA55">
        <f>HYPERLINK("https://klasma.github.io/Logging_1496/klagomål/A 17452-2023 FSC-klagomål.docx", "A 17452-2023")</f>
        <v/>
      </c>
      <c r="AB55">
        <f>HYPERLINK("https://klasma.github.io/Logging_1496/klagomålsmail/A 17452-2023 FSC-klagomål mail.docx", "A 17452-2023")</f>
        <v/>
      </c>
      <c r="AC55">
        <f>HYPERLINK("https://klasma.github.io/Logging_1496/tillsyn/A 17452-2023 tillsynsbegäran.docx", "A 17452-2023")</f>
        <v/>
      </c>
      <c r="AD55">
        <f>HYPERLINK("https://klasma.github.io/Logging_1496/tillsynsmail/A 17452-2023 tillsynsbegäran mail.docx", "A 17452-2023")</f>
        <v/>
      </c>
    </row>
    <row r="56" ht="15" customHeight="1">
      <c r="A56" t="inlineStr">
        <is>
          <t>A 18132-2023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46259</v>
      </c>
      <c r="F56" t="inlineStr">
        <is>
          <t>VÄSTRA GÖTALANDS LÄN</t>
        </is>
      </c>
      <c r="G56" t="inlineStr">
        <is>
          <t>SKÖVDE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Hässleklocka</t>
        </is>
      </c>
      <c r="W56">
        <f>HYPERLINK("https://klasma.github.io/Logging_1496/artfynd/A 18132-2023 artfynd.xlsx", "A 18132-2023")</f>
        <v/>
      </c>
      <c r="X56">
        <f>HYPERLINK("https://klasma.github.io/Logging_1496/kartor/A 18132-2023 karta.png", "A 18132-2023")</f>
        <v/>
      </c>
      <c r="Y56">
        <f>HYPERLINK("https://klasma.github.io/Logging_1496/kartor_geotiff/A 18132-2023 georefererad karta.tif", "A 18132-2023")</f>
        <v/>
      </c>
      <c r="AA56">
        <f>HYPERLINK("https://klasma.github.io/Logging_1496/klagomål/A 18132-2023 FSC-klagomål.docx", "A 18132-2023")</f>
        <v/>
      </c>
      <c r="AB56">
        <f>HYPERLINK("https://klasma.github.io/Logging_1496/klagomålsmail/A 18132-2023 FSC-klagomål mail.docx", "A 18132-2023")</f>
        <v/>
      </c>
      <c r="AC56">
        <f>HYPERLINK("https://klasma.github.io/Logging_1496/tillsyn/A 18132-2023 tillsynsbegäran.docx", "A 18132-2023")</f>
        <v/>
      </c>
      <c r="AD56">
        <f>HYPERLINK("https://klasma.github.io/Logging_1496/tillsynsmail/A 18132-2023 tillsynsbegäran mail.docx", "A 18132-2023")</f>
        <v/>
      </c>
    </row>
    <row r="57" ht="15" customHeight="1">
      <c r="A57" t="inlineStr">
        <is>
          <t>A 35919-2023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46259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Svinrot</t>
        </is>
      </c>
      <c r="W57">
        <f>HYPERLINK("https://klasma.github.io/Logging_1496/artfynd/A 35919-2023 artfynd.xlsx", "A 35919-2023")</f>
        <v/>
      </c>
      <c r="X57">
        <f>HYPERLINK("https://klasma.github.io/Logging_1496/kartor/A 35919-2023 karta.png", "A 35919-2023")</f>
        <v/>
      </c>
      <c r="Y57">
        <f>HYPERLINK("https://klasma.github.io/Logging_1496/kartor_geotiff/A 35919-2023 georefererad karta.tif", "A 35919-2023")</f>
        <v/>
      </c>
      <c r="AA57">
        <f>HYPERLINK("https://klasma.github.io/Logging_1496/klagomål/A 35919-2023 FSC-klagomål.docx", "A 35919-2023")</f>
        <v/>
      </c>
      <c r="AB57">
        <f>HYPERLINK("https://klasma.github.io/Logging_1496/klagomålsmail/A 35919-2023 FSC-klagomål mail.docx", "A 35919-2023")</f>
        <v/>
      </c>
      <c r="AC57">
        <f>HYPERLINK("https://klasma.github.io/Logging_1496/tillsyn/A 35919-2023 tillsynsbegäran.docx", "A 35919-2023")</f>
        <v/>
      </c>
      <c r="AD57">
        <f>HYPERLINK("https://klasma.github.io/Logging_1496/tillsynsmail/A 35919-2023 tillsynsbegäran mail.docx", "A 35919-2023")</f>
        <v/>
      </c>
    </row>
    <row r="58" ht="15" customHeight="1">
      <c r="A58" t="inlineStr">
        <is>
          <t>A 42904-2023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46259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Grönvit nattviol</t>
        </is>
      </c>
      <c r="W58">
        <f>HYPERLINK("https://klasma.github.io/Logging_1496/artfynd/A 42904-2023 artfynd.xlsx", "A 42904-2023")</f>
        <v/>
      </c>
      <c r="X58">
        <f>HYPERLINK("https://klasma.github.io/Logging_1496/kartor/A 42904-2023 karta.png", "A 42904-2023")</f>
        <v/>
      </c>
      <c r="Y58">
        <f>HYPERLINK("https://klasma.github.io/Logging_1496/kartor_geotiff/A 42904-2023 georefererad karta.tif", "A 42904-2023")</f>
        <v/>
      </c>
      <c r="AA58">
        <f>HYPERLINK("https://klasma.github.io/Logging_1496/klagomål/A 42904-2023 FSC-klagomål.docx", "A 42904-2023")</f>
        <v/>
      </c>
      <c r="AB58">
        <f>HYPERLINK("https://klasma.github.io/Logging_1496/klagomålsmail/A 42904-2023 FSC-klagomål mail.docx", "A 42904-2023")</f>
        <v/>
      </c>
      <c r="AC58">
        <f>HYPERLINK("https://klasma.github.io/Logging_1496/tillsyn/A 42904-2023 tillsynsbegäran.docx", "A 42904-2023")</f>
        <v/>
      </c>
      <c r="AD58">
        <f>HYPERLINK("https://klasma.github.io/Logging_1496/tillsynsmail/A 42904-2023 tillsynsbegäran mail.docx", "A 42904-2023")</f>
        <v/>
      </c>
    </row>
    <row r="59" ht="15" customHeight="1">
      <c r="A59" t="inlineStr">
        <is>
          <t>A 4464-2026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46259</v>
      </c>
      <c r="F59" t="inlineStr">
        <is>
          <t>VÄSTRA GÖTALANDS LÄN</t>
        </is>
      </c>
      <c r="G59" t="inlineStr">
        <is>
          <t>SKÖVDE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Myskmadra</t>
        </is>
      </c>
      <c r="W59">
        <f>HYPERLINK("https://klasma.github.io/Logging_1496/artfynd/A 4464-2026 artfynd.xlsx", "A 4464-2026")</f>
        <v/>
      </c>
      <c r="X59">
        <f>HYPERLINK("https://klasma.github.io/Logging_1496/kartor/A 4464-2026 karta.png", "A 4464-2026")</f>
        <v/>
      </c>
      <c r="Y59">
        <f>HYPERLINK("https://klasma.github.io/Logging_1496/kartor_geotiff/A 4464-2026 georefererad karta.tif", "A 4464-2026")</f>
        <v/>
      </c>
      <c r="AA59">
        <f>HYPERLINK("https://klasma.github.io/Logging_1496/klagomål/A 4464-2026 FSC-klagomål.docx", "A 4464-2026")</f>
        <v/>
      </c>
      <c r="AB59">
        <f>HYPERLINK("https://klasma.github.io/Logging_1496/klagomålsmail/A 4464-2026 FSC-klagomål mail.docx", "A 4464-2026")</f>
        <v/>
      </c>
      <c r="AC59">
        <f>HYPERLINK("https://klasma.github.io/Logging_1496/tillsyn/A 4464-2026 tillsynsbegäran.docx", "A 4464-2026")</f>
        <v/>
      </c>
      <c r="AD59">
        <f>HYPERLINK("https://klasma.github.io/Logging_1496/tillsynsmail/A 4464-2026 tillsynsbegäran mail.docx", "A 4464-2026")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46259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46259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A 6093-2026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46052</v>
      </c>
      <c r="E62" s="1" t="n">
        <v>46259</v>
      </c>
      <c r="F62" t="inlineStr">
        <is>
          <t>VÄSTRA GÖTALANDS LÄN</t>
        </is>
      </c>
      <c r="G62" t="inlineStr">
        <is>
          <t>SKÖVDE</t>
        </is>
      </c>
      <c r="I62" t="n">
        <v>5.8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Svinrot</t>
        </is>
      </c>
      <c r="W62">
        <f>HYPERLINK("https://klasma.github.io/Logging_1496/artfynd/A 6093-2026 artfynd.xlsx", "A 6093-2026")</f>
        <v/>
      </c>
      <c r="X62">
        <f>HYPERLINK("https://klasma.github.io/Logging_1496/kartor/A 6093-2026 karta.png", "A 6093-2026")</f>
        <v/>
      </c>
      <c r="Y62">
        <f>HYPERLINK("https://klasma.github.io/Logging_1496/kartor_geotiff/A 6093-2026 georefererad karta.tif", "A 6093-2026")</f>
        <v/>
      </c>
      <c r="AA62">
        <f>HYPERLINK("https://klasma.github.io/Logging_1496/klagomål/A 6093-2026 FSC-klagomål.docx", "A 6093-2026")</f>
        <v/>
      </c>
      <c r="AB62">
        <f>HYPERLINK("https://klasma.github.io/Logging_1496/klagomålsmail/A 6093-2026 FSC-klagomål mail.docx", "A 6093-2026")</f>
        <v/>
      </c>
      <c r="AC62">
        <f>HYPERLINK("https://klasma.github.io/Logging_1496/tillsyn/A 6093-2026 tillsynsbegäran.docx", "A 6093-2026")</f>
        <v/>
      </c>
      <c r="AD62">
        <f>HYPERLINK("https://klasma.github.io/Logging_1496/tillsynsmail/A 6093-2026 tillsynsbegäran mail.docx", "A 6093-2026")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46259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46259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46259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46259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46259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46259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46259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46259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46259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46259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46259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46259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46259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46259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46259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Kommuner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25271-2025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46259</v>
      </c>
      <c r="F80" t="inlineStr">
        <is>
          <t>VÄSTRA GÖTALANDS LÄN</t>
        </is>
      </c>
      <c r="G80" t="inlineStr">
        <is>
          <t>SKÖVDE</t>
        </is>
      </c>
      <c r="H80" t="inlineStr">
        <is>
          <t>Kommuner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46259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25639-2025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45800</v>
      </c>
      <c r="E82" s="1" t="n">
        <v>46259</v>
      </c>
      <c r="F82" t="inlineStr">
        <is>
          <t>VÄSTRA GÖTALANDS LÄN</t>
        </is>
      </c>
      <c r="G82" t="inlineStr">
        <is>
          <t>SKÖVDE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46259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46259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25642-2025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45803</v>
      </c>
      <c r="E85" s="1" t="n">
        <v>46259</v>
      </c>
      <c r="F85" t="inlineStr">
        <is>
          <t>VÄSTRA GÖTALANDS LÄN</t>
        </is>
      </c>
      <c r="G85" t="inlineStr">
        <is>
          <t>SKÖVDE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46259</v>
      </c>
      <c r="F86" t="inlineStr">
        <is>
          <t>VÄSTRA GÖTALANDS LÄN</t>
        </is>
      </c>
      <c r="G86" t="inlineStr">
        <is>
          <t>SKÖVDE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46259</v>
      </c>
      <c r="F87" t="inlineStr">
        <is>
          <t>VÄSTRA GÖTALANDS LÄN</t>
        </is>
      </c>
      <c r="G87" t="inlineStr">
        <is>
          <t>SKÖVDE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46259</v>
      </c>
      <c r="F88" t="inlineStr">
        <is>
          <t>VÄSTRA GÖTALANDS LÄN</t>
        </is>
      </c>
      <c r="G88" t="inlineStr">
        <is>
          <t>SKÖVDE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46259</v>
      </c>
      <c r="F89" t="inlineStr">
        <is>
          <t>VÄSTRA GÖTALANDS LÄN</t>
        </is>
      </c>
      <c r="G89" t="inlineStr">
        <is>
          <t>SKÖVDE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46259</v>
      </c>
      <c r="F90" t="inlineStr">
        <is>
          <t>VÄSTRA GÖTALANDS LÄN</t>
        </is>
      </c>
      <c r="G90" t="inlineStr">
        <is>
          <t>SKÖVDE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46259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44739</v>
      </c>
      <c r="E92" s="1" t="n">
        <v>46259</v>
      </c>
      <c r="F92" t="inlineStr">
        <is>
          <t>VÄSTRA GÖTALANDS LÄN</t>
        </is>
      </c>
      <c r="G92" t="inlineStr">
        <is>
          <t>SKÖVDE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45706</v>
      </c>
      <c r="E93" s="1" t="n">
        <v>46259</v>
      </c>
      <c r="F93" t="inlineStr">
        <is>
          <t>VÄSTRA GÖTALANDS LÄN</t>
        </is>
      </c>
      <c r="G93" t="inlineStr">
        <is>
          <t>SKÖVDE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46259</v>
      </c>
      <c r="F94" t="inlineStr">
        <is>
          <t>VÄSTRA GÖTALANDS LÄN</t>
        </is>
      </c>
      <c r="G94" t="inlineStr">
        <is>
          <t>SKÖVDE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44635</v>
      </c>
      <c r="E95" s="1" t="n">
        <v>46259</v>
      </c>
      <c r="F95" t="inlineStr">
        <is>
          <t>VÄSTRA GÖTALANDS LÄN</t>
        </is>
      </c>
      <c r="G95" t="inlineStr">
        <is>
          <t>SKÖVDE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45322</v>
      </c>
      <c r="E96" s="1" t="n">
        <v>46259</v>
      </c>
      <c r="F96" t="inlineStr">
        <is>
          <t>VÄSTRA GÖTALANDS LÄN</t>
        </is>
      </c>
      <c r="G96" t="inlineStr">
        <is>
          <t>SKÖVDE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44862</v>
      </c>
      <c r="E97" s="1" t="n">
        <v>46259</v>
      </c>
      <c r="F97" t="inlineStr">
        <is>
          <t>VÄSTRA GÖTALANDS LÄN</t>
        </is>
      </c>
      <c r="G97" t="inlineStr">
        <is>
          <t>SKÖVDE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46259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45821</v>
      </c>
      <c r="E99" s="1" t="n">
        <v>46259</v>
      </c>
      <c r="F99" t="inlineStr">
        <is>
          <t>VÄSTRA GÖTALANDS LÄN</t>
        </is>
      </c>
      <c r="G99" t="inlineStr">
        <is>
          <t>SKÖVDE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29012-2025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45821</v>
      </c>
      <c r="E100" s="1" t="n">
        <v>46259</v>
      </c>
      <c r="F100" t="inlineStr">
        <is>
          <t>VÄSTRA GÖTALANDS LÄN</t>
        </is>
      </c>
      <c r="G100" t="inlineStr">
        <is>
          <t>SKÖVDE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46259</v>
      </c>
      <c r="F101" t="inlineStr">
        <is>
          <t>VÄSTRA GÖTALANDS LÄN</t>
        </is>
      </c>
      <c r="G101" t="inlineStr">
        <is>
          <t>SKÖVDE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46259</v>
      </c>
      <c r="F102" t="inlineStr">
        <is>
          <t>VÄSTRA GÖTALANDS LÄN</t>
        </is>
      </c>
      <c r="G102" t="inlineStr">
        <is>
          <t>SKÖVDE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46259</v>
      </c>
      <c r="F103" t="inlineStr">
        <is>
          <t>VÄSTRA GÖTALANDS LÄN</t>
        </is>
      </c>
      <c r="G103" t="inlineStr">
        <is>
          <t>SKÖVDE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44481</v>
      </c>
      <c r="E104" s="1" t="n">
        <v>46259</v>
      </c>
      <c r="F104" t="inlineStr">
        <is>
          <t>VÄSTRA GÖTALANDS LÄN</t>
        </is>
      </c>
      <c r="G104" t="inlineStr">
        <is>
          <t>SKÖVDE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46259</v>
      </c>
      <c r="F105" t="inlineStr">
        <is>
          <t>VÄSTRA GÖTALANDS LÄN</t>
        </is>
      </c>
      <c r="G105" t="inlineStr">
        <is>
          <t>SKÖVDE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45259</v>
      </c>
      <c r="E106" s="1" t="n">
        <v>46259</v>
      </c>
      <c r="F106" t="inlineStr">
        <is>
          <t>VÄSTRA GÖTALANDS LÄN</t>
        </is>
      </c>
      <c r="G106" t="inlineStr">
        <is>
          <t>SKÖVDE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45138</v>
      </c>
      <c r="E107" s="1" t="n">
        <v>46259</v>
      </c>
      <c r="F107" t="inlineStr">
        <is>
          <t>VÄSTRA GÖTALANDS LÄN</t>
        </is>
      </c>
      <c r="G107" t="inlineStr">
        <is>
          <t>SKÖVDE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45827</v>
      </c>
      <c r="E108" s="1" t="n">
        <v>46259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38499-2025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46259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10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46259</v>
      </c>
      <c r="F110" t="inlineStr">
        <is>
          <t>VÄSTRA GÖTALANDS LÄN</t>
        </is>
      </c>
      <c r="G110" t="inlineStr">
        <is>
          <t>SKÖVDE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46259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46259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46259</v>
      </c>
      <c r="F113" t="inlineStr">
        <is>
          <t>VÄSTRA GÖTALANDS LÄN</t>
        </is>
      </c>
      <c r="G113" t="inlineStr">
        <is>
          <t>SKÖVDE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45853</v>
      </c>
      <c r="E114" s="1" t="n">
        <v>46259</v>
      </c>
      <c r="F114" t="inlineStr">
        <is>
          <t>VÄSTRA GÖTALANDS LÄN</t>
        </is>
      </c>
      <c r="G114" t="inlineStr">
        <is>
          <t>SKÖVDE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46259</v>
      </c>
      <c r="F115" t="inlineStr">
        <is>
          <t>VÄSTRA GÖTALANDS LÄN</t>
        </is>
      </c>
      <c r="G115" t="inlineStr">
        <is>
          <t>SKÖVDE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46259</v>
      </c>
      <c r="F116" t="inlineStr">
        <is>
          <t>VÄSTRA GÖTALANDS LÄN</t>
        </is>
      </c>
      <c r="G116" t="inlineStr">
        <is>
          <t>SKÖVDE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45315</v>
      </c>
      <c r="E117" s="1" t="n">
        <v>46259</v>
      </c>
      <c r="F117" t="inlineStr">
        <is>
          <t>VÄSTRA GÖTALANDS LÄN</t>
        </is>
      </c>
      <c r="G117" t="inlineStr">
        <is>
          <t>SKÖVDE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45842</v>
      </c>
      <c r="E118" s="1" t="n">
        <v>46259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46259</v>
      </c>
      <c r="F119" t="inlineStr">
        <is>
          <t>VÄSTRA GÖTALANDS LÄN</t>
        </is>
      </c>
      <c r="G119" t="inlineStr">
        <is>
          <t>SKÖVDE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46259</v>
      </c>
      <c r="F120" t="inlineStr">
        <is>
          <t>VÄSTRA GÖTALANDS LÄN</t>
        </is>
      </c>
      <c r="G120" t="inlineStr">
        <is>
          <t>SKÖVDE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46259</v>
      </c>
      <c r="F121" t="inlineStr">
        <is>
          <t>VÄSTRA GÖTALANDS LÄN</t>
        </is>
      </c>
      <c r="G121" t="inlineStr">
        <is>
          <t>SKÖVDE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45756</v>
      </c>
      <c r="E122" s="1" t="n">
        <v>46259</v>
      </c>
      <c r="F122" t="inlineStr">
        <is>
          <t>VÄSTRA GÖTALANDS LÄN</t>
        </is>
      </c>
      <c r="G122" t="inlineStr">
        <is>
          <t>SKÖVDE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46259</v>
      </c>
      <c r="F123" t="inlineStr">
        <is>
          <t>VÄSTRA GÖTALANDS LÄN</t>
        </is>
      </c>
      <c r="G123" t="inlineStr">
        <is>
          <t>SKÖVDE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46259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46259</v>
      </c>
      <c r="F125" t="inlineStr">
        <is>
          <t>VÄSTRA GÖTALANDS LÄN</t>
        </is>
      </c>
      <c r="G125" t="inlineStr">
        <is>
          <t>SKÖVDE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46259</v>
      </c>
      <c r="F126" t="inlineStr">
        <is>
          <t>VÄSTRA GÖTALANDS LÄN</t>
        </is>
      </c>
      <c r="G126" t="inlineStr">
        <is>
          <t>SKÖVDE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45314</v>
      </c>
      <c r="E127" s="1" t="n">
        <v>46259</v>
      </c>
      <c r="F127" t="inlineStr">
        <is>
          <t>VÄSTRA GÖTALANDS LÄN</t>
        </is>
      </c>
      <c r="G127" t="inlineStr">
        <is>
          <t>SKÖVDE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45306</v>
      </c>
      <c r="E128" s="1" t="n">
        <v>46259</v>
      </c>
      <c r="F128" t="inlineStr">
        <is>
          <t>VÄSTRA GÖTALANDS LÄN</t>
        </is>
      </c>
      <c r="G128" t="inlineStr">
        <is>
          <t>SKÖVDE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46259</v>
      </c>
      <c r="F129" t="inlineStr">
        <is>
          <t>VÄSTRA GÖTALANDS LÄN</t>
        </is>
      </c>
      <c r="G129" t="inlineStr">
        <is>
          <t>SKÖVDE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46259</v>
      </c>
      <c r="F130" t="inlineStr">
        <is>
          <t>VÄSTRA GÖTALANDS LÄN</t>
        </is>
      </c>
      <c r="G130" t="inlineStr">
        <is>
          <t>SKÖVDE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51886-2021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46259</v>
      </c>
      <c r="F131" t="inlineStr">
        <is>
          <t>VÄSTRA GÖTALANDS LÄN</t>
        </is>
      </c>
      <c r="G131" t="inlineStr">
        <is>
          <t>SKÖVDE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45709</v>
      </c>
      <c r="E132" s="1" t="n">
        <v>46259</v>
      </c>
      <c r="F132" t="inlineStr">
        <is>
          <t>VÄSTRA GÖTALANDS LÄN</t>
        </is>
      </c>
      <c r="G132" t="inlineStr">
        <is>
          <t>SKÖVDE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46259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44959</v>
      </c>
      <c r="E134" s="1" t="n">
        <v>46259</v>
      </c>
      <c r="F134" t="inlineStr">
        <is>
          <t>VÄSTRA GÖTALANDS LÄN</t>
        </is>
      </c>
      <c r="G134" t="inlineStr">
        <is>
          <t>SKÖVDE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17798-2024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45418</v>
      </c>
      <c r="E135" s="1" t="n">
        <v>46259</v>
      </c>
      <c r="F135" t="inlineStr">
        <is>
          <t>VÄSTRA GÖTALANDS LÄN</t>
        </is>
      </c>
      <c r="G135" t="inlineStr">
        <is>
          <t>SKÖVDE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46259</v>
      </c>
      <c r="F136" t="inlineStr">
        <is>
          <t>VÄSTRA GÖTALANDS LÄN</t>
        </is>
      </c>
      <c r="G136" t="inlineStr">
        <is>
          <t>SKÖVDE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46259</v>
      </c>
      <c r="F137" t="inlineStr">
        <is>
          <t>VÄSTRA GÖTALANDS LÄN</t>
        </is>
      </c>
      <c r="G137" t="inlineStr">
        <is>
          <t>SKÖVDE</t>
        </is>
      </c>
      <c r="I137" t="n">
        <v>11.7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46259</v>
      </c>
      <c r="F138" t="inlineStr">
        <is>
          <t>VÄSTRA GÖTALANDS LÄN</t>
        </is>
      </c>
      <c r="G138" t="inlineStr">
        <is>
          <t>SKÖVDE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45693</v>
      </c>
      <c r="E139" s="1" t="n">
        <v>46259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45306</v>
      </c>
      <c r="E140" s="1" t="n">
        <v>46259</v>
      </c>
      <c r="F140" t="inlineStr">
        <is>
          <t>VÄSTRA GÖTALANDS LÄN</t>
        </is>
      </c>
      <c r="G140" t="inlineStr">
        <is>
          <t>SKÖVDE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45721</v>
      </c>
      <c r="E141" s="1" t="n">
        <v>46259</v>
      </c>
      <c r="F141" t="inlineStr">
        <is>
          <t>VÄSTRA GÖTALANDS LÄN</t>
        </is>
      </c>
      <c r="G141" t="inlineStr">
        <is>
          <t>SKÖVDE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45586</v>
      </c>
      <c r="E142" s="1" t="n">
        <v>46259</v>
      </c>
      <c r="F142" t="inlineStr">
        <is>
          <t>VÄSTRA GÖTALANDS LÄN</t>
        </is>
      </c>
      <c r="G142" t="inlineStr">
        <is>
          <t>SKÖVDE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45586</v>
      </c>
      <c r="E143" s="1" t="n">
        <v>46259</v>
      </c>
      <c r="F143" t="inlineStr">
        <is>
          <t>VÄSTRA GÖTALANDS LÄN</t>
        </is>
      </c>
      <c r="G143" t="inlineStr">
        <is>
          <t>SKÖVDE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46259</v>
      </c>
      <c r="F144" t="inlineStr">
        <is>
          <t>VÄSTRA GÖTALANDS LÄN</t>
        </is>
      </c>
      <c r="G144" t="inlineStr">
        <is>
          <t>SKÖVDE</t>
        </is>
      </c>
      <c r="I144" t="n">
        <v>11.8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14281-2026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46259</v>
      </c>
      <c r="F145" t="inlineStr">
        <is>
          <t>VÄSTRA GÖTALANDS LÄN</t>
        </is>
      </c>
      <c r="G145" t="inlineStr">
        <is>
          <t>SKÖVDE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37204-2024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46259</v>
      </c>
      <c r="F146" t="inlineStr">
        <is>
          <t>VÄSTRA GÖTALANDS LÄN</t>
        </is>
      </c>
      <c r="G146" t="inlineStr">
        <is>
          <t>SKÖVDE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46259</v>
      </c>
      <c r="F147" t="inlineStr">
        <is>
          <t>VÄSTRA GÖTALANDS LÄN</t>
        </is>
      </c>
      <c r="G147" t="inlineStr">
        <is>
          <t>SKÖVDE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44938</v>
      </c>
      <c r="E148" s="1" t="n">
        <v>46259</v>
      </c>
      <c r="F148" t="inlineStr">
        <is>
          <t>VÄSTRA GÖTALANDS LÄN</t>
        </is>
      </c>
      <c r="G148" t="inlineStr">
        <is>
          <t>SKÖVDE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46259</v>
      </c>
      <c r="F149" t="inlineStr">
        <is>
          <t>VÄSTRA GÖTALANDS LÄN</t>
        </is>
      </c>
      <c r="G149" t="inlineStr">
        <is>
          <t>SKÖVDE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45169</v>
      </c>
      <c r="E150" s="1" t="n">
        <v>46259</v>
      </c>
      <c r="F150" t="inlineStr">
        <is>
          <t>VÄSTRA GÖTALANDS LÄN</t>
        </is>
      </c>
      <c r="G150" t="inlineStr">
        <is>
          <t>SKÖVDE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44599</v>
      </c>
      <c r="E151" s="1" t="n">
        <v>46259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Kyrkan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45560</v>
      </c>
      <c r="E152" s="1" t="n">
        <v>46259</v>
      </c>
      <c r="F152" t="inlineStr">
        <is>
          <t>VÄSTRA GÖTALANDS LÄN</t>
        </is>
      </c>
      <c r="G152" t="inlineStr">
        <is>
          <t>SKÖVDE</t>
        </is>
      </c>
      <c r="I152" t="n">
        <v>10.1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46259</v>
      </c>
      <c r="F153" t="inlineStr">
        <is>
          <t>VÄSTRA GÖTALANDS LÄN</t>
        </is>
      </c>
      <c r="G153" t="inlineStr">
        <is>
          <t>SKÖVDE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46259</v>
      </c>
      <c r="F154" t="inlineStr">
        <is>
          <t>VÄSTRA GÖTALANDS LÄN</t>
        </is>
      </c>
      <c r="G154" t="inlineStr">
        <is>
          <t>SKÖVDE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45230</v>
      </c>
      <c r="E155" s="1" t="n">
        <v>46259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46259</v>
      </c>
      <c r="F156" t="inlineStr">
        <is>
          <t>VÄSTRA GÖTALANDS LÄN</t>
        </is>
      </c>
      <c r="G156" t="inlineStr">
        <is>
          <t>SKÖVDE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44750</v>
      </c>
      <c r="E157" s="1" t="n">
        <v>46259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45847</v>
      </c>
      <c r="E158" s="1" t="n">
        <v>46259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46259</v>
      </c>
      <c r="F159" t="inlineStr">
        <is>
          <t>VÄSTRA GÖTALANDS LÄN</t>
        </is>
      </c>
      <c r="G159" t="inlineStr">
        <is>
          <t>SKÖVDE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46259</v>
      </c>
      <c r="F160" t="inlineStr">
        <is>
          <t>VÄSTRA GÖTALANDS LÄN</t>
        </is>
      </c>
      <c r="G160" t="inlineStr">
        <is>
          <t>SKÖVDE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45693</v>
      </c>
      <c r="E161" s="1" t="n">
        <v>46259</v>
      </c>
      <c r="F161" t="inlineStr">
        <is>
          <t>VÄSTRA GÖTALANDS LÄN</t>
        </is>
      </c>
      <c r="G161" t="inlineStr">
        <is>
          <t>SKÖVDE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46259</v>
      </c>
      <c r="F162" t="inlineStr">
        <is>
          <t>VÄSTRA GÖTALANDS LÄN</t>
        </is>
      </c>
      <c r="G162" t="inlineStr">
        <is>
          <t>SKÖVDE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46259</v>
      </c>
      <c r="F163" t="inlineStr">
        <is>
          <t>VÄSTRA GÖTALANDS LÄN</t>
        </is>
      </c>
      <c r="G163" t="inlineStr">
        <is>
          <t>SKÖVDE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44825</v>
      </c>
      <c r="E164" s="1" t="n">
        <v>46259</v>
      </c>
      <c r="F164" t="inlineStr">
        <is>
          <t>VÄSTRA GÖTALANDS LÄN</t>
        </is>
      </c>
      <c r="G164" t="inlineStr">
        <is>
          <t>SKÖVDE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46259</v>
      </c>
      <c r="F165" t="inlineStr">
        <is>
          <t>VÄSTRA GÖTALANDS LÄN</t>
        </is>
      </c>
      <c r="G165" t="inlineStr">
        <is>
          <t>SKÖVDE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46259</v>
      </c>
      <c r="F166" t="inlineStr">
        <is>
          <t>VÄSTRA GÖTALANDS LÄN</t>
        </is>
      </c>
      <c r="G166" t="inlineStr">
        <is>
          <t>SKÖVDE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46259</v>
      </c>
      <c r="F167" t="inlineStr">
        <is>
          <t>VÄSTRA GÖTALANDS LÄN</t>
        </is>
      </c>
      <c r="G167" t="inlineStr">
        <is>
          <t>SKÖVDE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45937</v>
      </c>
      <c r="E168" s="1" t="n">
        <v>46259</v>
      </c>
      <c r="F168" t="inlineStr">
        <is>
          <t>VÄSTRA GÖTALANDS LÄN</t>
        </is>
      </c>
      <c r="G168" t="inlineStr">
        <is>
          <t>SKÖVDE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46259</v>
      </c>
      <c r="F169" t="inlineStr">
        <is>
          <t>VÄSTRA GÖTALANDS LÄN</t>
        </is>
      </c>
      <c r="G169" t="inlineStr">
        <is>
          <t>SKÖVDE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46259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46259</v>
      </c>
      <c r="F171" t="inlineStr">
        <is>
          <t>VÄSTRA GÖTALANDS LÄN</t>
        </is>
      </c>
      <c r="G171" t="inlineStr">
        <is>
          <t>SKÖVDE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13669-2023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45006</v>
      </c>
      <c r="E172" s="1" t="n">
        <v>46259</v>
      </c>
      <c r="F172" t="inlineStr">
        <is>
          <t>VÄSTRA GÖTALANDS LÄN</t>
        </is>
      </c>
      <c r="G172" t="inlineStr">
        <is>
          <t>SKÖVDE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46259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46259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46259</v>
      </c>
      <c r="F175" t="inlineStr">
        <is>
          <t>VÄSTRA GÖTALANDS LÄN</t>
        </is>
      </c>
      <c r="G175" t="inlineStr">
        <is>
          <t>SKÖVDE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45002</v>
      </c>
      <c r="E176" s="1" t="n">
        <v>46259</v>
      </c>
      <c r="F176" t="inlineStr">
        <is>
          <t>VÄSTRA GÖTALANDS LÄN</t>
        </is>
      </c>
      <c r="G176" t="inlineStr">
        <is>
          <t>SKÖVDE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44811</v>
      </c>
      <c r="E177" s="1" t="n">
        <v>46259</v>
      </c>
      <c r="F177" t="inlineStr">
        <is>
          <t>VÄSTRA GÖTALANDS LÄN</t>
        </is>
      </c>
      <c r="G177" t="inlineStr">
        <is>
          <t>SKÖVDE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45685</v>
      </c>
      <c r="E178" s="1" t="n">
        <v>46259</v>
      </c>
      <c r="F178" t="inlineStr">
        <is>
          <t>VÄSTRA GÖTALANDS LÄN</t>
        </is>
      </c>
      <c r="G178" t="inlineStr">
        <is>
          <t>SKÖVDE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45590</v>
      </c>
      <c r="E179" s="1" t="n">
        <v>46259</v>
      </c>
      <c r="F179" t="inlineStr">
        <is>
          <t>VÄSTRA GÖTALANDS LÄN</t>
        </is>
      </c>
      <c r="G179" t="inlineStr">
        <is>
          <t>SKÖVDE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45134</v>
      </c>
      <c r="E180" s="1" t="n">
        <v>46259</v>
      </c>
      <c r="F180" t="inlineStr">
        <is>
          <t>VÄSTRA GÖTALANDS LÄN</t>
        </is>
      </c>
      <c r="G180" t="inlineStr">
        <is>
          <t>SKÖVDE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45694</v>
      </c>
      <c r="E181" s="1" t="n">
        <v>46259</v>
      </c>
      <c r="F181" t="inlineStr">
        <is>
          <t>VÄSTRA GÖTALANDS LÄN</t>
        </is>
      </c>
      <c r="G181" t="inlineStr">
        <is>
          <t>SKÖVDE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46259</v>
      </c>
      <c r="F182" t="inlineStr">
        <is>
          <t>VÄSTRA GÖTALANDS LÄN</t>
        </is>
      </c>
      <c r="G182" t="inlineStr">
        <is>
          <t>SKÖVDE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46259</v>
      </c>
      <c r="F183" t="inlineStr">
        <is>
          <t>VÄSTRA GÖTALANDS LÄN</t>
        </is>
      </c>
      <c r="G183" t="inlineStr">
        <is>
          <t>SKÖVDE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46259</v>
      </c>
      <c r="F184" t="inlineStr">
        <is>
          <t>VÄSTRA GÖTALANDS LÄN</t>
        </is>
      </c>
      <c r="G184" t="inlineStr">
        <is>
          <t>SKÖVDE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44796</v>
      </c>
      <c r="E185" s="1" t="n">
        <v>46259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46259</v>
      </c>
      <c r="F186" t="inlineStr">
        <is>
          <t>VÄSTRA GÖTALANDS LÄN</t>
        </is>
      </c>
      <c r="G186" t="inlineStr">
        <is>
          <t>SKÖVDE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46259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46259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46259</v>
      </c>
      <c r="F189" t="inlineStr">
        <is>
          <t>VÄSTRA GÖTALANDS LÄN</t>
        </is>
      </c>
      <c r="G189" t="inlineStr">
        <is>
          <t>SKÖVDE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46259</v>
      </c>
      <c r="F190" t="inlineStr">
        <is>
          <t>VÄSTRA GÖTALANDS LÄN</t>
        </is>
      </c>
      <c r="G190" t="inlineStr">
        <is>
          <t>SKÖVDE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46259</v>
      </c>
      <c r="F191" t="inlineStr">
        <is>
          <t>VÄSTRA GÖTALANDS LÄN</t>
        </is>
      </c>
      <c r="G191" t="inlineStr">
        <is>
          <t>SKÖVDE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46259</v>
      </c>
      <c r="F192" t="inlineStr">
        <is>
          <t>VÄSTRA GÖTALANDS LÄN</t>
        </is>
      </c>
      <c r="G192" t="inlineStr">
        <is>
          <t>SKÖVDE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45947</v>
      </c>
      <c r="E193" s="1" t="n">
        <v>46259</v>
      </c>
      <c r="F193" t="inlineStr">
        <is>
          <t>VÄSTRA GÖTALANDS LÄN</t>
        </is>
      </c>
      <c r="G193" t="inlineStr">
        <is>
          <t>SKÖVDE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44601</v>
      </c>
      <c r="E194" s="1" t="n">
        <v>46259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Kommuner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46259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46259</v>
      </c>
      <c r="F196" t="inlineStr">
        <is>
          <t>VÄSTRA GÖTALANDS LÄN</t>
        </is>
      </c>
      <c r="G196" t="inlineStr">
        <is>
          <t>SKÖVDE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46259</v>
      </c>
      <c r="F197" t="inlineStr">
        <is>
          <t>VÄSTRA GÖTALANDS LÄN</t>
        </is>
      </c>
      <c r="G197" t="inlineStr">
        <is>
          <t>SKÖVDE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46259</v>
      </c>
      <c r="F198" t="inlineStr">
        <is>
          <t>VÄSTRA GÖTALANDS LÄN</t>
        </is>
      </c>
      <c r="G198" t="inlineStr">
        <is>
          <t>SKÖVDE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62269-2023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46259</v>
      </c>
      <c r="F199" t="inlineStr">
        <is>
          <t>VÄSTRA GÖTALANDS LÄN</t>
        </is>
      </c>
      <c r="G199" t="inlineStr">
        <is>
          <t>SKÖVDE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2901-2026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46038</v>
      </c>
      <c r="E200" s="1" t="n">
        <v>46259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46259</v>
      </c>
      <c r="F201" t="inlineStr">
        <is>
          <t>VÄSTRA GÖTALANDS LÄN</t>
        </is>
      </c>
      <c r="G201" t="inlineStr">
        <is>
          <t>SKÖVDE</t>
        </is>
      </c>
      <c r="H201" t="inlineStr">
        <is>
          <t>Kommuner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45138</v>
      </c>
      <c r="E202" s="1" t="n">
        <v>46259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45958</v>
      </c>
      <c r="E203" s="1" t="n">
        <v>46259</v>
      </c>
      <c r="F203" t="inlineStr">
        <is>
          <t>VÄSTRA GÖTALANDS LÄN</t>
        </is>
      </c>
      <c r="G203" t="inlineStr">
        <is>
          <t>SKÖVDE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45013</v>
      </c>
      <c r="E204" s="1" t="n">
        <v>46259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46259</v>
      </c>
      <c r="F205" t="inlineStr">
        <is>
          <t>VÄSTRA GÖTALANDS LÄN</t>
        </is>
      </c>
      <c r="G205" t="inlineStr">
        <is>
          <t>SKÖVDE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67134-2021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44523</v>
      </c>
      <c r="E206" s="1" t="n">
        <v>46259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46259</v>
      </c>
      <c r="F207" t="inlineStr">
        <is>
          <t>VÄSTRA GÖTALANDS LÄN</t>
        </is>
      </c>
      <c r="G207" t="inlineStr">
        <is>
          <t>SKÖVDE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46259</v>
      </c>
      <c r="F208" t="inlineStr">
        <is>
          <t>VÄSTRA GÖTALANDS LÄN</t>
        </is>
      </c>
      <c r="G208" t="inlineStr">
        <is>
          <t>SKÖVDE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46259</v>
      </c>
      <c r="F209" t="inlineStr">
        <is>
          <t>VÄSTRA GÖTALANDS LÄN</t>
        </is>
      </c>
      <c r="G209" t="inlineStr">
        <is>
          <t>SKÖVDE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46259</v>
      </c>
      <c r="F210" t="inlineStr">
        <is>
          <t>VÄSTRA GÖTALANDS LÄN</t>
        </is>
      </c>
      <c r="G210" t="inlineStr">
        <is>
          <t>SKÖVDE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46259</v>
      </c>
      <c r="F211" t="inlineStr">
        <is>
          <t>VÄSTRA GÖTALANDS LÄN</t>
        </is>
      </c>
      <c r="G211" t="inlineStr">
        <is>
          <t>SKÖVDE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26914-2026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46185</v>
      </c>
      <c r="E212" s="1" t="n">
        <v>46259</v>
      </c>
      <c r="F212" t="inlineStr">
        <is>
          <t>VÄSTRA GÖTALANDS LÄN</t>
        </is>
      </c>
      <c r="G212" t="inlineStr">
        <is>
          <t>SKÖVDE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60117-2021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44495</v>
      </c>
      <c r="E213" s="1" t="n">
        <v>46259</v>
      </c>
      <c r="F213" t="inlineStr">
        <is>
          <t>VÄSTRA GÖTALANDS LÄN</t>
        </is>
      </c>
      <c r="G213" t="inlineStr">
        <is>
          <t>SKÖVDE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46259</v>
      </c>
      <c r="F214" t="inlineStr">
        <is>
          <t>VÄSTRA GÖTALANDS LÄN</t>
        </is>
      </c>
      <c r="G214" t="inlineStr">
        <is>
          <t>SKÖVDE</t>
        </is>
      </c>
      <c r="H214" t="inlineStr">
        <is>
          <t>Kommuner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46259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Kommuner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46259</v>
      </c>
      <c r="F216" t="inlineStr">
        <is>
          <t>VÄSTRA GÖTALANDS LÄN</t>
        </is>
      </c>
      <c r="G216" t="inlineStr">
        <is>
          <t>SKÖVDE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46002</v>
      </c>
      <c r="E217" s="1" t="n">
        <v>46259</v>
      </c>
      <c r="F217" t="inlineStr">
        <is>
          <t>VÄSTRA GÖTALANDS LÄN</t>
        </is>
      </c>
      <c r="G217" t="inlineStr">
        <is>
          <t>SKÖVDE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46259</v>
      </c>
      <c r="F218" t="inlineStr">
        <is>
          <t>VÄSTRA GÖTALANDS LÄN</t>
        </is>
      </c>
      <c r="G218" t="inlineStr">
        <is>
          <t>SKÖVDE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35280-2024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45530</v>
      </c>
      <c r="E219" s="1" t="n">
        <v>46259</v>
      </c>
      <c r="F219" t="inlineStr">
        <is>
          <t>VÄSTRA GÖTALANDS LÄN</t>
        </is>
      </c>
      <c r="G219" t="inlineStr">
        <is>
          <t>SKÖVDE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46259</v>
      </c>
      <c r="F220" t="inlineStr">
        <is>
          <t>VÄSTRA GÖTALANDS LÄN</t>
        </is>
      </c>
      <c r="G220" t="inlineStr">
        <is>
          <t>SKÖVDE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46259</v>
      </c>
      <c r="F221" t="inlineStr">
        <is>
          <t>VÄSTRA GÖTALANDS LÄN</t>
        </is>
      </c>
      <c r="G221" t="inlineStr">
        <is>
          <t>SKÖVDE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46259</v>
      </c>
      <c r="F222" t="inlineStr">
        <is>
          <t>VÄSTRA GÖTALANDS LÄN</t>
        </is>
      </c>
      <c r="G222" t="inlineStr">
        <is>
          <t>SKÖVDE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45320</v>
      </c>
      <c r="E223" s="1" t="n">
        <v>46259</v>
      </c>
      <c r="F223" t="inlineStr">
        <is>
          <t>VÄSTRA GÖTALANDS LÄN</t>
        </is>
      </c>
      <c r="G223" t="inlineStr">
        <is>
          <t>SKÖVDE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62811-2025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46008</v>
      </c>
      <c r="E224" s="1" t="n">
        <v>46259</v>
      </c>
      <c r="F224" t="inlineStr">
        <is>
          <t>VÄSTRA GÖTALANDS LÄN</t>
        </is>
      </c>
      <c r="G224" t="inlineStr">
        <is>
          <t>SKÖVDE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62803-2025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46008</v>
      </c>
      <c r="E225" s="1" t="n">
        <v>46259</v>
      </c>
      <c r="F225" t="inlineStr">
        <is>
          <t>VÄSTRA GÖTALANDS LÄN</t>
        </is>
      </c>
      <c r="G225" t="inlineStr">
        <is>
          <t>SKÖVDE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46259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46259</v>
      </c>
      <c r="F227" t="inlineStr">
        <is>
          <t>VÄSTRA GÖTALANDS LÄN</t>
        </is>
      </c>
      <c r="G227" t="inlineStr">
        <is>
          <t>SKÖVDE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45687</v>
      </c>
      <c r="E228" s="1" t="n">
        <v>46259</v>
      </c>
      <c r="F228" t="inlineStr">
        <is>
          <t>VÄSTRA GÖTALANDS LÄN</t>
        </is>
      </c>
      <c r="G228" t="inlineStr">
        <is>
          <t>SKÖVDE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46259</v>
      </c>
      <c r="F229" t="inlineStr">
        <is>
          <t>VÄSTRA GÖTALANDS LÄN</t>
        </is>
      </c>
      <c r="G229" t="inlineStr">
        <is>
          <t>SKÖVDE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27671-2022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44743</v>
      </c>
      <c r="E230" s="1" t="n">
        <v>46259</v>
      </c>
      <c r="F230" t="inlineStr">
        <is>
          <t>VÄSTRA GÖTALANDS LÄN</t>
        </is>
      </c>
      <c r="G230" t="inlineStr">
        <is>
          <t>SKÖVDE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46259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46017</v>
      </c>
      <c r="E232" s="1" t="n">
        <v>46259</v>
      </c>
      <c r="F232" t="inlineStr">
        <is>
          <t>VÄSTRA GÖTALANDS LÄN</t>
        </is>
      </c>
      <c r="G232" t="inlineStr">
        <is>
          <t>SKÖVDE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46259</v>
      </c>
      <c r="F233" t="inlineStr">
        <is>
          <t>VÄSTRA GÖTALANDS LÄN</t>
        </is>
      </c>
      <c r="G233" t="inlineStr">
        <is>
          <t>SKÖVDE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29177-2026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46259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45742</v>
      </c>
      <c r="E235" s="1" t="n">
        <v>46259</v>
      </c>
      <c r="F235" t="inlineStr">
        <is>
          <t>VÄSTRA GÖTALANDS LÄN</t>
        </is>
      </c>
      <c r="G235" t="inlineStr">
        <is>
          <t>SKÖVDE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46259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46259</v>
      </c>
      <c r="F237" t="inlineStr">
        <is>
          <t>VÄSTRA GÖTALANDS LÄN</t>
        </is>
      </c>
      <c r="G237" t="inlineStr">
        <is>
          <t>SKÖVDE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60588-2023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45259</v>
      </c>
      <c r="E238" s="1" t="n">
        <v>46259</v>
      </c>
      <c r="F238" t="inlineStr">
        <is>
          <t>VÄSTRA GÖTALANDS LÄN</t>
        </is>
      </c>
      <c r="G238" t="inlineStr">
        <is>
          <t>SKÖVDE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46259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6092-2026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46052</v>
      </c>
      <c r="E240" s="1" t="n">
        <v>46259</v>
      </c>
      <c r="F240" t="inlineStr">
        <is>
          <t>VÄSTRA GÖTALANDS LÄN</t>
        </is>
      </c>
      <c r="G240" t="inlineStr">
        <is>
          <t>SKÖVDE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46259</v>
      </c>
      <c r="F241" t="inlineStr">
        <is>
          <t>VÄSTRA GÖTALANDS LÄN</t>
        </is>
      </c>
      <c r="G241" t="inlineStr">
        <is>
          <t>SKÖVDE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34257-2026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46253</v>
      </c>
      <c r="E242" s="1" t="n">
        <v>46259</v>
      </c>
      <c r="F242" t="inlineStr">
        <is>
          <t>VÄSTRA GÖTALANDS LÄN</t>
        </is>
      </c>
      <c r="G242" t="inlineStr">
        <is>
          <t>SKÖVDE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46259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46129</v>
      </c>
      <c r="E244" s="1" t="n">
        <v>46259</v>
      </c>
      <c r="F244" t="inlineStr">
        <is>
          <t>VÄSTRA GÖTALANDS LÄN</t>
        </is>
      </c>
      <c r="G244" t="inlineStr">
        <is>
          <t>SKÖVDE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45710</v>
      </c>
      <c r="E245" s="1" t="n">
        <v>46259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46259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46259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45142</v>
      </c>
      <c r="E248" s="1" t="n">
        <v>46259</v>
      </c>
      <c r="F248" t="inlineStr">
        <is>
          <t>VÄSTRA GÖTALANDS LÄN</t>
        </is>
      </c>
      <c r="G248" t="inlineStr">
        <is>
          <t>SKÖVDE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63374-2025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46259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Övriga statliga verk och myndigheter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46259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63730-2025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46259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Övriga statliga verk och myndigheter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46259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Övriga statliga verk och myndigheter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46259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Övriga statliga verk och myndigheter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46062</v>
      </c>
      <c r="E254" s="1" t="n">
        <v>46259</v>
      </c>
      <c r="F254" t="inlineStr">
        <is>
          <t>VÄSTRA GÖTALANDS LÄN</t>
        </is>
      </c>
      <c r="G254" t="inlineStr">
        <is>
          <t>SKÖVDE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46259</v>
      </c>
      <c r="F255" t="inlineStr">
        <is>
          <t>VÄSTRA GÖTALANDS LÄN</t>
        </is>
      </c>
      <c r="G255" t="inlineStr">
        <is>
          <t>SKÖVDE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46259</v>
      </c>
      <c r="F256" t="inlineStr">
        <is>
          <t>VÄSTRA GÖTALANDS LÄN</t>
        </is>
      </c>
      <c r="G256" t="inlineStr">
        <is>
          <t>SKÖVDE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46259</v>
      </c>
      <c r="F257" t="inlineStr">
        <is>
          <t>VÄSTRA GÖTALANDS LÄN</t>
        </is>
      </c>
      <c r="G257" t="inlineStr">
        <is>
          <t>SKÖVDE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5658-2024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45334</v>
      </c>
      <c r="E258" s="1" t="n">
        <v>46259</v>
      </c>
      <c r="F258" t="inlineStr">
        <is>
          <t>VÄSTRA GÖTALANDS LÄN</t>
        </is>
      </c>
      <c r="G258" t="inlineStr">
        <is>
          <t>SKÖVDE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46259</v>
      </c>
      <c r="F259" t="inlineStr">
        <is>
          <t>VÄSTRA GÖTALANDS LÄN</t>
        </is>
      </c>
      <c r="G259" t="inlineStr">
        <is>
          <t>SKÖVDE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46259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46259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2026-08-25T01:49:17Z</dcterms:created>
  <dcterms:modified xmlns:dcterms="http://purl.org/dc/terms/" xmlns:xsi="http://www.w3.org/2001/XMLSchema-instance" xsi:type="dcterms:W3CDTF">2026-08-25T01:49:17Z</dcterms:modified>
</cp:coreProperties>
</file>