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46261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46261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46261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46261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46261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46261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46261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46261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46261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46261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46261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46261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46261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46261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46261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46261</v>
      </c>
      <c r="F25" t="inlineStr">
        <is>
          <t>VÄSTRA GÖTALANDS LÄN</t>
        </is>
      </c>
      <c r="G25" t="inlineStr">
        <is>
          <t>SKÖVDE</t>
        </is>
      </c>
      <c r="I25" t="n">
        <v>5.3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Skogsknipprot
Svart trolldruva
Fläcknycklar</t>
        </is>
      </c>
      <c r="W25">
        <f>HYPERLINK("https://klasma.github.io/Logging_1496/artfynd/A 2579-2023 artfynd.xlsx", "A 2579-2023")</f>
        <v/>
      </c>
      <c r="X25">
        <f>HYPERLINK("https://klasma.github.io/Logging_1496/kartor/A 2579-2023 karta.png", "A 2579-2023")</f>
        <v/>
      </c>
      <c r="Y25">
        <f>HYPERLINK("https://klasma.github.io/Logging_1496/kartor_geotiff/A 2579-2023 georefererad karta.tif", "A 2579-2023")</f>
        <v/>
      </c>
      <c r="AA25">
        <f>HYPERLINK("https://klasma.github.io/Logging_1496/klagomål/A 2579-2023 FSC-klagomål.docx", "A 2579-2023")</f>
        <v/>
      </c>
      <c r="AB25">
        <f>HYPERLINK("https://klasma.github.io/Logging_1496/klagomålsmail/A 2579-2023 FSC-klagomål mail.docx", "A 2579-2023")</f>
        <v/>
      </c>
      <c r="AC25">
        <f>HYPERLINK("https://klasma.github.io/Logging_1496/tillsyn/A 2579-2023 tillsynsbegäran.docx", "A 2579-2023")</f>
        <v/>
      </c>
      <c r="AD25">
        <f>HYPERLINK("https://klasma.github.io/Logging_1496/tillsynsmail/A 2579-2023 tillsynsbegäran mail.docx", "A 2579-2023")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46261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46261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14964-2025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45743</v>
      </c>
      <c r="E29" s="1" t="n">
        <v>46261</v>
      </c>
      <c r="F29" t="inlineStr">
        <is>
          <t>VÄSTRA GÖTALANDS LÄN</t>
        </is>
      </c>
      <c r="G29" t="inlineStr">
        <is>
          <t>SKÖVDE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Gullpudra</t>
        </is>
      </c>
      <c r="W29">
        <f>HYPERLINK("https://klasma.github.io/Logging_1496/artfynd/A 14964-2025 artfynd.xlsx", "A 14964-2025")</f>
        <v/>
      </c>
      <c r="X29">
        <f>HYPERLINK("https://klasma.github.io/Logging_1496/kartor/A 14964-2025 karta.png", "A 14964-2025")</f>
        <v/>
      </c>
      <c r="Y29">
        <f>HYPERLINK("https://klasma.github.io/Logging_1496/kartor_geotiff/A 14964-2025 georefererad karta.tif", "A 14964-2025")</f>
        <v/>
      </c>
      <c r="AA29">
        <f>HYPERLINK("https://klasma.github.io/Logging_1496/klagomål/A 14964-2025 FSC-klagomål.docx", "A 14964-2025")</f>
        <v/>
      </c>
      <c r="AB29">
        <f>HYPERLINK("https://klasma.github.io/Logging_1496/klagomålsmail/A 14964-2025 FSC-klagomål mail.docx", "A 14964-2025")</f>
        <v/>
      </c>
      <c r="AC29">
        <f>HYPERLINK("https://klasma.github.io/Logging_1496/tillsyn/A 14964-2025 tillsynsbegäran.docx", "A 14964-2025")</f>
        <v/>
      </c>
      <c r="AD29">
        <f>HYPERLINK("https://klasma.github.io/Logging_1496/tillsynsmail/A 14964-2025 tillsynsbegäran mail.docx", "A 14964-2025")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46261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27109-2024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46261</v>
      </c>
      <c r="F31" t="inlineStr">
        <is>
          <t>VÄSTRA GÖTALANDS LÄN</t>
        </is>
      </c>
      <c r="G31" t="inlineStr">
        <is>
          <t>SKÖVDE</t>
        </is>
      </c>
      <c r="I31" t="n">
        <v>2.7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Backstarr
Jungfrulin</t>
        </is>
      </c>
      <c r="W31">
        <f>HYPERLINK("https://klasma.github.io/Logging_1496/artfynd/A 27109-2024 artfynd.xlsx", "A 27109-2024")</f>
        <v/>
      </c>
      <c r="X31">
        <f>HYPERLINK("https://klasma.github.io/Logging_1496/kartor/A 27109-2024 karta.png", "A 27109-2024")</f>
        <v/>
      </c>
      <c r="Y31">
        <f>HYPERLINK("https://klasma.github.io/Logging_1496/kartor_geotiff/A 27109-2024 georefererad karta.tif", "A 27109-2024")</f>
        <v/>
      </c>
      <c r="AA31">
        <f>HYPERLINK("https://klasma.github.io/Logging_1496/klagomål/A 27109-2024 FSC-klagomål.docx", "A 27109-2024")</f>
        <v/>
      </c>
      <c r="AB31">
        <f>HYPERLINK("https://klasma.github.io/Logging_1496/klagomålsmail/A 27109-2024 FSC-klagomål mail.docx", "A 27109-2024")</f>
        <v/>
      </c>
      <c r="AC31">
        <f>HYPERLINK("https://klasma.github.io/Logging_1496/tillsyn/A 27109-2024 tillsynsbegäran.docx", "A 27109-2024")</f>
        <v/>
      </c>
      <c r="AD31">
        <f>HYPERLINK("https://klasma.github.io/Logging_1496/tillsynsmail/A 27109-2024 tillsynsbegäran mail.docx", "A 27109-2024")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46261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Borsttåg
Mattlummer</t>
        </is>
      </c>
      <c r="W32">
        <f>HYPERLINK("https://klasma.github.io/Logging_1496/artfynd/A 42017-2025 artfynd.xlsx", "A 42017-2025")</f>
        <v/>
      </c>
      <c r="X32">
        <f>HYPERLINK("https://klasma.github.io/Logging_1496/kartor/A 42017-2025 karta.png", "A 42017-2025")</f>
        <v/>
      </c>
      <c r="Y32">
        <f>HYPERLINK("https://klasma.github.io/Logging_1496/kartor_geotiff/A 42017-2025 georefererad karta.tif", "A 42017-2025")</f>
        <v/>
      </c>
      <c r="AA32">
        <f>HYPERLINK("https://klasma.github.io/Logging_1496/klagomål/A 42017-2025 FSC-klagomål.docx", "A 42017-2025")</f>
        <v/>
      </c>
      <c r="AB32">
        <f>HYPERLINK("https://klasma.github.io/Logging_1496/klagomålsmail/A 42017-2025 FSC-klagomål mail.docx", "A 42017-2025")</f>
        <v/>
      </c>
      <c r="AC32">
        <f>HYPERLINK("https://klasma.github.io/Logging_1496/tillsyn/A 42017-2025 tillsynsbegäran.docx", "A 42017-2025")</f>
        <v/>
      </c>
      <c r="AD32">
        <f>HYPERLINK("https://klasma.github.io/Logging_1496/tillsynsmail/A 42017-2025 tillsynsbegäran mail.docx", "A 42017-2025")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46261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46261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46261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46261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46261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10610-2023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44988</v>
      </c>
      <c r="E38" s="1" t="n">
        <v>46261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Vanlig groda
Revlummer</t>
        </is>
      </c>
      <c r="W38">
        <f>HYPERLINK("https://klasma.github.io/Logging_1496/artfynd/A 10610-2023 artfynd.xlsx", "A 10610-2023")</f>
        <v/>
      </c>
      <c r="X38">
        <f>HYPERLINK("https://klasma.github.io/Logging_1496/kartor/A 10610-2023 karta.png", "A 10610-2023")</f>
        <v/>
      </c>
      <c r="Y38">
        <f>HYPERLINK("https://klasma.github.io/Logging_1496/kartor_geotiff/A 10610-2023 georefererad karta.tif", "A 10610-2023")</f>
        <v/>
      </c>
      <c r="AA38">
        <f>HYPERLINK("https://klasma.github.io/Logging_1496/klagomål/A 10610-2023 FSC-klagomål.docx", "A 10610-2023")</f>
        <v/>
      </c>
      <c r="AB38">
        <f>HYPERLINK("https://klasma.github.io/Logging_1496/klagomålsmail/A 10610-2023 FSC-klagomål mail.docx", "A 10610-2023")</f>
        <v/>
      </c>
      <c r="AC38">
        <f>HYPERLINK("https://klasma.github.io/Logging_1496/tillsyn/A 10610-2023 tillsynsbegäran.docx", "A 10610-2023")</f>
        <v/>
      </c>
      <c r="AD38">
        <f>HYPERLINK("https://klasma.github.io/Logging_1496/tillsynsmail/A 10610-2023 tillsynsbegäran mail.docx", "A 10610-2023")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46261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58467-2024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45635</v>
      </c>
      <c r="E40" s="1" t="n">
        <v>46261</v>
      </c>
      <c r="F40" t="inlineStr">
        <is>
          <t>VÄSTRA GÖTALANDS LÄN</t>
        </is>
      </c>
      <c r="G40" t="inlineStr">
        <is>
          <t>SKÖVDE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Sommarfibbla
Mattlummer</t>
        </is>
      </c>
      <c r="W40">
        <f>HYPERLINK("https://klasma.github.io/Logging_1496/artfynd/A 58467-2024 artfynd.xlsx", "A 58467-2024")</f>
        <v/>
      </c>
      <c r="X40">
        <f>HYPERLINK("https://klasma.github.io/Logging_1496/kartor/A 58467-2024 karta.png", "A 58467-2024")</f>
        <v/>
      </c>
      <c r="Y40">
        <f>HYPERLINK("https://klasma.github.io/Logging_1496/kartor_geotiff/A 58467-2024 georefererad karta.tif", "A 58467-2024")</f>
        <v/>
      </c>
      <c r="AA40">
        <f>HYPERLINK("https://klasma.github.io/Logging_1496/klagomål/A 58467-2024 FSC-klagomål.docx", "A 58467-2024")</f>
        <v/>
      </c>
      <c r="AB40">
        <f>HYPERLINK("https://klasma.github.io/Logging_1496/klagomålsmail/A 58467-2024 FSC-klagomål mail.docx", "A 58467-2024")</f>
        <v/>
      </c>
      <c r="AC40">
        <f>HYPERLINK("https://klasma.github.io/Logging_1496/tillsyn/A 58467-2024 tillsynsbegäran.docx", "A 58467-2024")</f>
        <v/>
      </c>
      <c r="AD40">
        <f>HYPERLINK("https://klasma.github.io/Logging_1496/tillsynsmail/A 58467-2024 tillsynsbegäran mail.docx", "A 58467-2024")</f>
        <v/>
      </c>
    </row>
    <row r="41" ht="15" customHeight="1">
      <c r="A41" t="inlineStr">
        <is>
          <t>A 22268-2025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46261</v>
      </c>
      <c r="F41" t="inlineStr">
        <is>
          <t>VÄSTRA GÖTALANDS LÄN</t>
        </is>
      </c>
      <c r="G41" t="inlineStr">
        <is>
          <t>SKÖVDE</t>
        </is>
      </c>
      <c r="I41" t="n">
        <v>1.4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Motaggsvamp</t>
        </is>
      </c>
      <c r="W41">
        <f>HYPERLINK("https://klasma.github.io/Logging_1496/artfynd/A 22268-2025 artfynd.xlsx", "A 22268-2025")</f>
        <v/>
      </c>
      <c r="X41">
        <f>HYPERLINK("https://klasma.github.io/Logging_1496/kartor/A 22268-2025 karta.png", "A 22268-2025")</f>
        <v/>
      </c>
      <c r="Y41">
        <f>HYPERLINK("https://klasma.github.io/Logging_1496/kartor_geotiff/A 22268-2025 georefererad karta.tif", "A 22268-2025")</f>
        <v/>
      </c>
      <c r="Z41">
        <f>HYPERLINK("https://klasma.github.io/Logging_1496/knärot/A 22268-2025 karta knärot.png", "A 22268-2025")</f>
        <v/>
      </c>
      <c r="AA41">
        <f>HYPERLINK("https://klasma.github.io/Logging_1496/klagomål/A 22268-2025 FSC-klagomål.docx", "A 22268-2025")</f>
        <v/>
      </c>
      <c r="AB41">
        <f>HYPERLINK("https://klasma.github.io/Logging_1496/klagomålsmail/A 22268-2025 FSC-klagomål mail.docx", "A 22268-2025")</f>
        <v/>
      </c>
      <c r="AC41">
        <f>HYPERLINK("https://klasma.github.io/Logging_1496/tillsyn/A 22268-2025 tillsynsbegäran.docx", "A 22268-2025")</f>
        <v/>
      </c>
      <c r="AD41">
        <f>HYPERLINK("https://klasma.github.io/Logging_1496/tillsynsmail/A 22268-2025 tillsynsbegäran mail.docx", "A 22268-2025")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46261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46261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46261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4464-2026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46045</v>
      </c>
      <c r="E45" s="1" t="n">
        <v>46261</v>
      </c>
      <c r="F45" t="inlineStr">
        <is>
          <t>VÄSTRA GÖTALANDS LÄN</t>
        </is>
      </c>
      <c r="G45" t="inlineStr">
        <is>
          <t>SKÖVDE</t>
        </is>
      </c>
      <c r="I45" t="n">
        <v>0.7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Myskmadra</t>
        </is>
      </c>
      <c r="W45">
        <f>HYPERLINK("https://klasma.github.io/Logging_1496/artfynd/A 4464-2026 artfynd.xlsx", "A 4464-2026")</f>
        <v/>
      </c>
      <c r="X45">
        <f>HYPERLINK("https://klasma.github.io/Logging_1496/kartor/A 4464-2026 karta.png", "A 4464-2026")</f>
        <v/>
      </c>
      <c r="Y45">
        <f>HYPERLINK("https://klasma.github.io/Logging_1496/kartor_geotiff/A 4464-2026 georefererad karta.tif", "A 4464-2026")</f>
        <v/>
      </c>
      <c r="AA45">
        <f>HYPERLINK("https://klasma.github.io/Logging_1496/klagomål/A 4464-2026 FSC-klagomål.docx", "A 4464-2026")</f>
        <v/>
      </c>
      <c r="AB45">
        <f>HYPERLINK("https://klasma.github.io/Logging_1496/klagomålsmail/A 4464-2026 FSC-klagomål mail.docx", "A 4464-2026")</f>
        <v/>
      </c>
      <c r="AC45">
        <f>HYPERLINK("https://klasma.github.io/Logging_1496/tillsyn/A 4464-2026 tillsynsbegäran.docx", "A 4464-2026")</f>
        <v/>
      </c>
      <c r="AD45">
        <f>HYPERLINK("https://klasma.github.io/Logging_1496/tillsynsmail/A 4464-2026 tillsynsbegäran mail.docx", "A 4464-2026")</f>
        <v/>
      </c>
    </row>
    <row r="46" ht="15" customHeight="1">
      <c r="A46" t="inlineStr">
        <is>
          <t>A 6093-2026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46052</v>
      </c>
      <c r="E46" s="1" t="n">
        <v>46261</v>
      </c>
      <c r="F46" t="inlineStr">
        <is>
          <t>VÄSTRA GÖTALANDS LÄN</t>
        </is>
      </c>
      <c r="G46" t="inlineStr">
        <is>
          <t>SKÖVDE</t>
        </is>
      </c>
      <c r="I46" t="n">
        <v>5.8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Svinrot</t>
        </is>
      </c>
      <c r="W46">
        <f>HYPERLINK("https://klasma.github.io/Logging_1496/artfynd/A 6093-2026 artfynd.xlsx", "A 6093-2026")</f>
        <v/>
      </c>
      <c r="X46">
        <f>HYPERLINK("https://klasma.github.io/Logging_1496/kartor/A 6093-2026 karta.png", "A 6093-2026")</f>
        <v/>
      </c>
      <c r="Y46">
        <f>HYPERLINK("https://klasma.github.io/Logging_1496/kartor_geotiff/A 6093-2026 georefererad karta.tif", "A 6093-2026")</f>
        <v/>
      </c>
      <c r="AA46">
        <f>HYPERLINK("https://klasma.github.io/Logging_1496/klagomål/A 6093-2026 FSC-klagomål.docx", "A 6093-2026")</f>
        <v/>
      </c>
      <c r="AB46">
        <f>HYPERLINK("https://klasma.github.io/Logging_1496/klagomålsmail/A 6093-2026 FSC-klagomål mail.docx", "A 6093-2026")</f>
        <v/>
      </c>
      <c r="AC46">
        <f>HYPERLINK("https://klasma.github.io/Logging_1496/tillsyn/A 6093-2026 tillsynsbegäran.docx", "A 6093-2026")</f>
        <v/>
      </c>
      <c r="AD46">
        <f>HYPERLINK("https://klasma.github.io/Logging_1496/tillsynsmail/A 6093-2026 tillsynsbegäran mail.docx", "A 6093-2026")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46261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46261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28717-2026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46198</v>
      </c>
      <c r="E49" s="1" t="n">
        <v>46261</v>
      </c>
      <c r="F49" t="inlineStr">
        <is>
          <t>VÄSTRA GÖTALANDS LÄN</t>
        </is>
      </c>
      <c r="G49" t="inlineStr">
        <is>
          <t>SKÖVDE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28717-2026 artfynd.xlsx", "A 28717-2026")</f>
        <v/>
      </c>
      <c r="X49">
        <f>HYPERLINK("https://klasma.github.io/Logging_1496/kartor/A 28717-2026 karta.png", "A 28717-2026")</f>
        <v/>
      </c>
      <c r="Y49">
        <f>HYPERLINK("https://klasma.github.io/Logging_1496/kartor_geotiff/A 28717-2026 georefererad karta.tif", "A 28717-2026")</f>
        <v/>
      </c>
      <c r="AA49">
        <f>HYPERLINK("https://klasma.github.io/Logging_1496/klagomål/A 28717-2026 FSC-klagomål.docx", "A 28717-2026")</f>
        <v/>
      </c>
      <c r="AB49">
        <f>HYPERLINK("https://klasma.github.io/Logging_1496/klagomålsmail/A 28717-2026 FSC-klagomål mail.docx", "A 28717-2026")</f>
        <v/>
      </c>
      <c r="AC49">
        <f>HYPERLINK("https://klasma.github.io/Logging_1496/tillsyn/A 28717-2026 tillsynsbegäran.docx", "A 28717-2026")</f>
        <v/>
      </c>
      <c r="AD49">
        <f>HYPERLINK("https://klasma.github.io/Logging_1496/tillsynsmail/A 28717-2026 tillsynsbegäran mail.docx", "A 28717-2026")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46261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46261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29011-2023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46261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5.4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29011-2023 artfynd.xlsx", "A 29011-2023")</f>
        <v/>
      </c>
      <c r="X52">
        <f>HYPERLINK("https://klasma.github.io/Logging_1496/kartor/A 29011-2023 karta.png", "A 29011-2023")</f>
        <v/>
      </c>
      <c r="Y52">
        <f>HYPERLINK("https://klasma.github.io/Logging_1496/kartor_geotiff/A 29011-2023 georefererad karta.tif", "A 29011-2023")</f>
        <v/>
      </c>
      <c r="AA52">
        <f>HYPERLINK("https://klasma.github.io/Logging_1496/klagomål/A 29011-2023 FSC-klagomål.docx", "A 29011-2023")</f>
        <v/>
      </c>
      <c r="AB52">
        <f>HYPERLINK("https://klasma.github.io/Logging_1496/klagomålsmail/A 29011-2023 FSC-klagomål mail.docx", "A 29011-2023")</f>
        <v/>
      </c>
      <c r="AC52">
        <f>HYPERLINK("https://klasma.github.io/Logging_1496/tillsyn/A 29011-2023 tillsynsbegäran.docx", "A 29011-2023")</f>
        <v/>
      </c>
      <c r="AD52">
        <f>HYPERLINK("https://klasma.github.io/Logging_1496/tillsynsmail/A 29011-2023 tillsynsbegäran mail.docx", "A 29011-2023")</f>
        <v/>
      </c>
    </row>
    <row r="53" ht="15" customHeight="1">
      <c r="A53" t="inlineStr">
        <is>
          <t>A 24814-2026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46173</v>
      </c>
      <c r="E53" s="1" t="n">
        <v>46261</v>
      </c>
      <c r="F53" t="inlineStr">
        <is>
          <t>VÄSTRA GÖTALANDS LÄN</t>
        </is>
      </c>
      <c r="G53" t="inlineStr">
        <is>
          <t>SKÖVDE</t>
        </is>
      </c>
      <c r="I53" t="n">
        <v>6.6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HYPERLINK("https://klasma.github.io/Logging_1496/artfynd/A 24814-2026 artfynd.xlsx", "A 24814-2026")</f>
        <v/>
      </c>
      <c r="X53">
        <f>HYPERLINK("https://klasma.github.io/Logging_1496/kartor/A 24814-2026 karta.png", "A 24814-2026")</f>
        <v/>
      </c>
      <c r="Y53">
        <f>HYPERLINK("https://klasma.github.io/Logging_1496/kartor_geotiff/A 24814-2026 georefererad karta.tif", "A 24814-2026")</f>
        <v/>
      </c>
      <c r="AA53">
        <f>HYPERLINK("https://klasma.github.io/Logging_1496/klagomål/A 24814-2026 FSC-klagomål.docx", "A 24814-2026")</f>
        <v/>
      </c>
      <c r="AB53">
        <f>HYPERLINK("https://klasma.github.io/Logging_1496/klagomålsmail/A 24814-2026 FSC-klagomål mail.docx", "A 24814-2026")</f>
        <v/>
      </c>
      <c r="AC53">
        <f>HYPERLINK("https://klasma.github.io/Logging_1496/tillsyn/A 24814-2026 tillsynsbegäran.docx", "A 24814-2026")</f>
        <v/>
      </c>
      <c r="AD53">
        <f>HYPERLINK("https://klasma.github.io/Logging_1496/tillsynsmail/A 24814-2026 tillsynsbegäran mail.docx", "A 24814-2026")</f>
        <v/>
      </c>
    </row>
    <row r="54" ht="15" customHeight="1">
      <c r="A54" t="inlineStr">
        <is>
          <t>A 15417-2023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46261</v>
      </c>
      <c r="F54" t="inlineStr">
        <is>
          <t>VÄSTRA GÖTALANDS LÄN</t>
        </is>
      </c>
      <c r="G54" t="inlineStr">
        <is>
          <t>SKÖVDE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Gullpudra</t>
        </is>
      </c>
      <c r="W54">
        <f>HYPERLINK("https://klasma.github.io/Logging_1496/artfynd/A 15417-2023 artfynd.xlsx", "A 15417-2023")</f>
        <v/>
      </c>
      <c r="X54">
        <f>HYPERLINK("https://klasma.github.io/Logging_1496/kartor/A 15417-2023 karta.png", "A 15417-2023")</f>
        <v/>
      </c>
      <c r="Y54">
        <f>HYPERLINK("https://klasma.github.io/Logging_1496/kartor_geotiff/A 15417-2023 georefererad karta.tif", "A 15417-2023")</f>
        <v/>
      </c>
      <c r="AA54">
        <f>HYPERLINK("https://klasma.github.io/Logging_1496/klagomål/A 15417-2023 FSC-klagomål.docx", "A 15417-2023")</f>
        <v/>
      </c>
      <c r="AB54">
        <f>HYPERLINK("https://klasma.github.io/Logging_1496/klagomålsmail/A 15417-2023 FSC-klagomål mail.docx", "A 15417-2023")</f>
        <v/>
      </c>
      <c r="AC54">
        <f>HYPERLINK("https://klasma.github.io/Logging_1496/tillsyn/A 15417-2023 tillsynsbegäran.docx", "A 15417-2023")</f>
        <v/>
      </c>
      <c r="AD54">
        <f>HYPERLINK("https://klasma.github.io/Logging_1496/tillsynsmail/A 15417-2023 tillsynsbegäran mail.docx", "A 15417-2023")</f>
        <v/>
      </c>
    </row>
    <row r="55" ht="15" customHeight="1">
      <c r="A55" t="inlineStr">
        <is>
          <t>A 10602-2023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44988</v>
      </c>
      <c r="E55" s="1" t="n">
        <v>46261</v>
      </c>
      <c r="F55" t="inlineStr">
        <is>
          <t>VÄSTRA GÖTALANDS LÄN</t>
        </is>
      </c>
      <c r="G55" t="inlineStr">
        <is>
          <t>SKÖVDE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10602-2023 artfynd.xlsx", "A 10602-2023")</f>
        <v/>
      </c>
      <c r="X55">
        <f>HYPERLINK("https://klasma.github.io/Logging_1496/kartor/A 10602-2023 karta.png", "A 10602-2023")</f>
        <v/>
      </c>
      <c r="Y55">
        <f>HYPERLINK("https://klasma.github.io/Logging_1496/kartor_geotiff/A 10602-2023 georefererad karta.tif", "A 10602-2023")</f>
        <v/>
      </c>
      <c r="AA55">
        <f>HYPERLINK("https://klasma.github.io/Logging_1496/klagomål/A 10602-2023 FSC-klagomål.docx", "A 10602-2023")</f>
        <v/>
      </c>
      <c r="AB55">
        <f>HYPERLINK("https://klasma.github.io/Logging_1496/klagomålsmail/A 10602-2023 FSC-klagomål mail.docx", "A 10602-2023")</f>
        <v/>
      </c>
      <c r="AC55">
        <f>HYPERLINK("https://klasma.github.io/Logging_1496/tillsyn/A 10602-2023 tillsynsbegäran.docx", "A 10602-2023")</f>
        <v/>
      </c>
      <c r="AD55">
        <f>HYPERLINK("https://klasma.github.io/Logging_1496/tillsynsmail/A 10602-2023 tillsynsbegäran mail.docx", "A 10602-2023")</f>
        <v/>
      </c>
    </row>
    <row r="56" ht="15" customHeight="1">
      <c r="A56" t="inlineStr">
        <is>
          <t>A 47898-2023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46261</v>
      </c>
      <c r="F56" t="inlineStr">
        <is>
          <t>VÄSTRA GÖTALANDS LÄN</t>
        </is>
      </c>
      <c r="G56" t="inlineStr">
        <is>
          <t>SKÖVDE</t>
        </is>
      </c>
      <c r="I56" t="n">
        <v>9.5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Karminticka</t>
        </is>
      </c>
      <c r="W56">
        <f>HYPERLINK("https://klasma.github.io/Logging_1496/artfynd/A 47898-2023 artfynd.xlsx", "A 47898-2023")</f>
        <v/>
      </c>
      <c r="X56">
        <f>HYPERLINK("https://klasma.github.io/Logging_1496/kartor/A 47898-2023 karta.png", "A 47898-2023")</f>
        <v/>
      </c>
      <c r="Y56">
        <f>HYPERLINK("https://klasma.github.io/Logging_1496/kartor_geotiff/A 47898-2023 georefererad karta.tif", "A 47898-2023")</f>
        <v/>
      </c>
      <c r="AA56">
        <f>HYPERLINK("https://klasma.github.io/Logging_1496/klagomål/A 47898-2023 FSC-klagomål.docx", "A 47898-2023")</f>
        <v/>
      </c>
      <c r="AB56">
        <f>HYPERLINK("https://klasma.github.io/Logging_1496/klagomålsmail/A 47898-2023 FSC-klagomål mail.docx", "A 47898-2023")</f>
        <v/>
      </c>
      <c r="AC56">
        <f>HYPERLINK("https://klasma.github.io/Logging_1496/tillsyn/A 47898-2023 tillsynsbegäran.docx", "A 47898-2023")</f>
        <v/>
      </c>
      <c r="AD56">
        <f>HYPERLINK("https://klasma.github.io/Logging_1496/tillsynsmail/A 47898-2023 tillsynsbegäran mail.docx", "A 47898-2023")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46261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46261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46261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46261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46261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46261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46261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46261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46261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46261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46261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46261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46261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46261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46261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46261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46261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46261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46261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46261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46261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46261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46261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46261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46261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46261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46261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46261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46261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46261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44862</v>
      </c>
      <c r="E89" s="1" t="n">
        <v>46261</v>
      </c>
      <c r="F89" t="inlineStr">
        <is>
          <t>VÄSTRA GÖTALANDS LÄN</t>
        </is>
      </c>
      <c r="G89" t="inlineStr">
        <is>
          <t>SKÖVDE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46261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46261</v>
      </c>
      <c r="F91" t="inlineStr">
        <is>
          <t>VÄSTRA GÖTALANDS LÄN</t>
        </is>
      </c>
      <c r="G91" t="inlineStr">
        <is>
          <t>SKÖVDE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46261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46261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46261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46261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46261</v>
      </c>
      <c r="F96" t="inlineStr">
        <is>
          <t>VÄSTRA GÖTALANDS LÄN</t>
        </is>
      </c>
      <c r="G96" t="inlineStr">
        <is>
          <t>SKÖVDE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45710</v>
      </c>
      <c r="E97" s="1" t="n">
        <v>46261</v>
      </c>
      <c r="F97" t="inlineStr">
        <is>
          <t>VÄSTRA GÖTALANDS LÄN</t>
        </is>
      </c>
      <c r="G97" t="inlineStr">
        <is>
          <t>SKÖVDE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45743</v>
      </c>
      <c r="E98" s="1" t="n">
        <v>46261</v>
      </c>
      <c r="F98" t="inlineStr">
        <is>
          <t>VÄSTRA GÖTALANDS LÄN</t>
        </is>
      </c>
      <c r="G98" t="inlineStr">
        <is>
          <t>SKÖVDE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45715</v>
      </c>
      <c r="E99" s="1" t="n">
        <v>46261</v>
      </c>
      <c r="F99" t="inlineStr">
        <is>
          <t>VÄSTRA GÖTALANDS LÄN</t>
        </is>
      </c>
      <c r="G99" t="inlineStr">
        <is>
          <t>SKÖVDE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46017</v>
      </c>
      <c r="E100" s="1" t="n">
        <v>46261</v>
      </c>
      <c r="F100" t="inlineStr">
        <is>
          <t>VÄSTRA GÖTALANDS LÄN</t>
        </is>
      </c>
      <c r="G100" t="inlineStr">
        <is>
          <t>SKÖVDE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46261</v>
      </c>
      <c r="F101" t="inlineStr">
        <is>
          <t>VÄSTRA GÖTALANDS LÄN</t>
        </is>
      </c>
      <c r="G101" t="inlineStr">
        <is>
          <t>SKÖVDE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46261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46261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Kyrkan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46261</v>
      </c>
      <c r="F104" t="inlineStr">
        <is>
          <t>VÄSTRA GÖTALANDS LÄN</t>
        </is>
      </c>
      <c r="G104" t="inlineStr">
        <is>
          <t>SKÖVDE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46261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46261</v>
      </c>
      <c r="F106" t="inlineStr">
        <is>
          <t>VÄSTRA GÖTALANDS LÄN</t>
        </is>
      </c>
      <c r="G106" t="inlineStr">
        <is>
          <t>SKÖVDE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5658-2024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45334</v>
      </c>
      <c r="E107" s="1" t="n">
        <v>46261</v>
      </c>
      <c r="F107" t="inlineStr">
        <is>
          <t>VÄSTRA GÖTALANDS LÄN</t>
        </is>
      </c>
      <c r="G107" t="inlineStr">
        <is>
          <t>SKÖVDE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46261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46261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25639-2025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45800</v>
      </c>
      <c r="E110" s="1" t="n">
        <v>46261</v>
      </c>
      <c r="F110" t="inlineStr">
        <is>
          <t>VÄSTRA GÖTALANDS LÄN</t>
        </is>
      </c>
      <c r="G110" t="inlineStr">
        <is>
          <t>SKÖVDE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46261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46261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46261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25642-2025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45803</v>
      </c>
      <c r="E114" s="1" t="n">
        <v>46261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46261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46261</v>
      </c>
      <c r="F116" t="inlineStr">
        <is>
          <t>VÄSTRA GÖTALANDS LÄN</t>
        </is>
      </c>
      <c r="G116" t="inlineStr">
        <is>
          <t>SKÖVDE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46261</v>
      </c>
      <c r="F117" t="inlineStr">
        <is>
          <t>VÄSTRA GÖTALANDS LÄN</t>
        </is>
      </c>
      <c r="G117" t="inlineStr">
        <is>
          <t>SKÖVDE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46261</v>
      </c>
      <c r="F118" t="inlineStr">
        <is>
          <t>VÄSTRA GÖTALANDS LÄN</t>
        </is>
      </c>
      <c r="G118" t="inlineStr">
        <is>
          <t>SKÖVDE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45159</v>
      </c>
      <c r="E119" s="1" t="n">
        <v>46261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46261</v>
      </c>
      <c r="F120" t="inlineStr">
        <is>
          <t>VÄSTRA GÖTALANDS LÄN</t>
        </is>
      </c>
      <c r="G120" t="inlineStr">
        <is>
          <t>SKÖVDE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46261</v>
      </c>
      <c r="F121" t="inlineStr">
        <is>
          <t>VÄSTRA GÖTALANDS LÄN</t>
        </is>
      </c>
      <c r="G121" t="inlineStr">
        <is>
          <t>SKÖVDE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46261</v>
      </c>
      <c r="F122" t="inlineStr">
        <is>
          <t>VÄSTRA GÖTALANDS LÄN</t>
        </is>
      </c>
      <c r="G122" t="inlineStr">
        <is>
          <t>SKÖVDE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46261</v>
      </c>
      <c r="F123" t="inlineStr">
        <is>
          <t>VÄSTRA GÖTALANDS LÄN</t>
        </is>
      </c>
      <c r="G123" t="inlineStr">
        <is>
          <t>SKÖVDE</t>
        </is>
      </c>
      <c r="I123" t="n">
        <v>12.3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46261</v>
      </c>
      <c r="F124" t="inlineStr">
        <is>
          <t>VÄSTRA GÖTALANDS LÄN</t>
        </is>
      </c>
      <c r="G124" t="inlineStr">
        <is>
          <t>SKÖVDE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6092-2026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46052</v>
      </c>
      <c r="E125" s="1" t="n">
        <v>46261</v>
      </c>
      <c r="F125" t="inlineStr">
        <is>
          <t>VÄSTRA GÖTALANDS LÄN</t>
        </is>
      </c>
      <c r="G125" t="inlineStr">
        <is>
          <t>SKÖVDE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46261</v>
      </c>
      <c r="F126" t="inlineStr">
        <is>
          <t>VÄSTRA GÖTALANDS LÄN</t>
        </is>
      </c>
      <c r="G126" t="inlineStr">
        <is>
          <t>SKÖVDE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46261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46261</v>
      </c>
      <c r="F128" t="inlineStr">
        <is>
          <t>VÄSTRA GÖTALANDS LÄN</t>
        </is>
      </c>
      <c r="G128" t="inlineStr">
        <is>
          <t>SKÖVDE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46261</v>
      </c>
      <c r="F129" t="inlineStr">
        <is>
          <t>VÄSTRA GÖTALANDS LÄN</t>
        </is>
      </c>
      <c r="G129" t="inlineStr">
        <is>
          <t>SKÖVDE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46261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46261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Övriga statliga verk och myndigheter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46261</v>
      </c>
      <c r="F132" t="inlineStr">
        <is>
          <t>VÄSTRA GÖTALANDS LÄN</t>
        </is>
      </c>
      <c r="G132" t="inlineStr">
        <is>
          <t>SKÖVDE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46261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Övriga statliga verk och myndigheter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46261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46261</v>
      </c>
      <c r="F135" t="inlineStr">
        <is>
          <t>VÄSTRA GÖTALANDS LÄN</t>
        </is>
      </c>
      <c r="G135" t="inlineStr">
        <is>
          <t>SKÖVDE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46261</v>
      </c>
      <c r="F136" t="inlineStr">
        <is>
          <t>VÄSTRA GÖTALANDS LÄN</t>
        </is>
      </c>
      <c r="G136" t="inlineStr">
        <is>
          <t>SKÖVDE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46261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46261</v>
      </c>
      <c r="F138" t="inlineStr">
        <is>
          <t>VÄSTRA GÖTALANDS LÄN</t>
        </is>
      </c>
      <c r="G138" t="inlineStr">
        <is>
          <t>SKÖVDE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46261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46261</v>
      </c>
      <c r="F140" t="inlineStr">
        <is>
          <t>VÄSTRA GÖTALANDS LÄN</t>
        </is>
      </c>
      <c r="G140" t="inlineStr">
        <is>
          <t>SKÖVDE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46261</v>
      </c>
      <c r="F141" t="inlineStr">
        <is>
          <t>VÄSTRA GÖTALANDS LÄN</t>
        </is>
      </c>
      <c r="G141" t="inlineStr">
        <is>
          <t>SKÖVDE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46261</v>
      </c>
      <c r="F142" t="inlineStr">
        <is>
          <t>VÄSTRA GÖTALANDS LÄN</t>
        </is>
      </c>
      <c r="G142" t="inlineStr">
        <is>
          <t>SKÖVDE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46261</v>
      </c>
      <c r="F143" t="inlineStr">
        <is>
          <t>VÄSTRA GÖTALANDS LÄN</t>
        </is>
      </c>
      <c r="G143" t="inlineStr">
        <is>
          <t>SKÖVDE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46261</v>
      </c>
      <c r="F144" t="inlineStr">
        <is>
          <t>VÄSTRA GÖTALANDS LÄN</t>
        </is>
      </c>
      <c r="G144" t="inlineStr">
        <is>
          <t>SKÖVDE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46261</v>
      </c>
      <c r="F145" t="inlineStr">
        <is>
          <t>VÄSTRA GÖTALANDS LÄN</t>
        </is>
      </c>
      <c r="G145" t="inlineStr">
        <is>
          <t>SKÖVDE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46261</v>
      </c>
      <c r="F146" t="inlineStr">
        <is>
          <t>VÄSTRA GÖTALANDS LÄN</t>
        </is>
      </c>
      <c r="G146" t="inlineStr">
        <is>
          <t>SKÖVDE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46261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46261</v>
      </c>
      <c r="F148" t="inlineStr">
        <is>
          <t>VÄSTRA GÖTALANDS LÄN</t>
        </is>
      </c>
      <c r="G148" t="inlineStr">
        <is>
          <t>SKÖVDE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46261</v>
      </c>
      <c r="F149" t="inlineStr">
        <is>
          <t>VÄSTRA GÖTALANDS LÄN</t>
        </is>
      </c>
      <c r="G149" t="inlineStr">
        <is>
          <t>SKÖVDE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46091</v>
      </c>
      <c r="E150" s="1" t="n">
        <v>46261</v>
      </c>
      <c r="F150" t="inlineStr">
        <is>
          <t>VÄSTRA GÖTALANDS LÄN</t>
        </is>
      </c>
      <c r="G150" t="inlineStr">
        <is>
          <t>SKÖVDE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46261</v>
      </c>
      <c r="F151" t="inlineStr">
        <is>
          <t>VÄSTRA GÖTALANDS LÄN</t>
        </is>
      </c>
      <c r="G151" t="inlineStr">
        <is>
          <t>SKÖVDE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46261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46261</v>
      </c>
      <c r="F153" t="inlineStr">
        <is>
          <t>VÄSTRA GÖTALANDS LÄN</t>
        </is>
      </c>
      <c r="G153" t="inlineStr">
        <is>
          <t>SKÖVDE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14281-2026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46261</v>
      </c>
      <c r="F154" t="inlineStr">
        <is>
          <t>VÄSTRA GÖTALANDS LÄN</t>
        </is>
      </c>
      <c r="G154" t="inlineStr">
        <is>
          <t>SKÖVDE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46261</v>
      </c>
      <c r="F155" t="inlineStr">
        <is>
          <t>VÄSTRA GÖTALANDS LÄN</t>
        </is>
      </c>
      <c r="G155" t="inlineStr">
        <is>
          <t>SKÖVDE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46261</v>
      </c>
      <c r="F156" t="inlineStr">
        <is>
          <t>VÄSTRA GÖTALANDS LÄN</t>
        </is>
      </c>
      <c r="G156" t="inlineStr">
        <is>
          <t>SKÖVDE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46261</v>
      </c>
      <c r="F157" t="inlineStr">
        <is>
          <t>VÄSTRA GÖTALANDS LÄN</t>
        </is>
      </c>
      <c r="G157" t="inlineStr">
        <is>
          <t>SKÖVDE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10560-2025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46261</v>
      </c>
      <c r="F158" t="inlineStr">
        <is>
          <t>VÄSTRA GÖTALANDS LÄN</t>
        </is>
      </c>
      <c r="G158" t="inlineStr">
        <is>
          <t>SKÖVDE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46261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46261</v>
      </c>
      <c r="F160" t="inlineStr">
        <is>
          <t>VÄSTRA GÖTALANDS LÄN</t>
        </is>
      </c>
      <c r="G160" t="inlineStr">
        <is>
          <t>SKÖVDE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46261</v>
      </c>
      <c r="F161" t="inlineStr">
        <is>
          <t>VÄSTRA GÖTALANDS LÄN</t>
        </is>
      </c>
      <c r="G161" t="inlineStr">
        <is>
          <t>SKÖVDE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45586</v>
      </c>
      <c r="E162" s="1" t="n">
        <v>46261</v>
      </c>
      <c r="F162" t="inlineStr">
        <is>
          <t>VÄSTRA GÖTALANDS LÄN</t>
        </is>
      </c>
      <c r="G162" t="inlineStr">
        <is>
          <t>SKÖVDE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46261</v>
      </c>
      <c r="F163" t="inlineStr">
        <is>
          <t>VÄSTRA GÖTALANDS LÄN</t>
        </is>
      </c>
      <c r="G163" t="inlineStr">
        <is>
          <t>SKÖVDE</t>
        </is>
      </c>
      <c r="I163" t="n">
        <v>11.8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45547</v>
      </c>
      <c r="E164" s="1" t="n">
        <v>46261</v>
      </c>
      <c r="F164" t="inlineStr">
        <is>
          <t>VÄSTRA GÖTALANDS LÄN</t>
        </is>
      </c>
      <c r="G164" t="inlineStr">
        <is>
          <t>SKÖVDE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46261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34592-2025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45847</v>
      </c>
      <c r="E166" s="1" t="n">
        <v>46261</v>
      </c>
      <c r="F166" t="inlineStr">
        <is>
          <t>VÄSTRA GÖTALANDS LÄN</t>
        </is>
      </c>
      <c r="G166" t="inlineStr">
        <is>
          <t>SKÖVDE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46261</v>
      </c>
      <c r="F167" t="inlineStr">
        <is>
          <t>VÄSTRA GÖTALANDS LÄN</t>
        </is>
      </c>
      <c r="G167" t="inlineStr">
        <is>
          <t>SKÖVDE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45401</v>
      </c>
      <c r="E168" s="1" t="n">
        <v>46261</v>
      </c>
      <c r="F168" t="inlineStr">
        <is>
          <t>VÄSTRA GÖTALANDS LÄN</t>
        </is>
      </c>
      <c r="G168" t="inlineStr">
        <is>
          <t>SKÖVDE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46261</v>
      </c>
      <c r="F169" t="inlineStr">
        <is>
          <t>VÄSTRA GÖTALANDS LÄN</t>
        </is>
      </c>
      <c r="G169" t="inlineStr">
        <is>
          <t>SKÖVDE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46261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Kyrkan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46261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46261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46261</v>
      </c>
      <c r="F173" t="inlineStr">
        <is>
          <t>VÄSTRA GÖTALANDS LÄN</t>
        </is>
      </c>
      <c r="G173" t="inlineStr">
        <is>
          <t>SKÖVDE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46261</v>
      </c>
      <c r="F174" t="inlineStr">
        <is>
          <t>VÄSTRA GÖTALANDS LÄN</t>
        </is>
      </c>
      <c r="G174" t="inlineStr">
        <is>
          <t>SKÖVDE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46261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46261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46261</v>
      </c>
      <c r="F177" t="inlineStr">
        <is>
          <t>VÄSTRA GÖTALANDS LÄN</t>
        </is>
      </c>
      <c r="G177" t="inlineStr">
        <is>
          <t>SKÖVDE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46261</v>
      </c>
      <c r="F178" t="inlineStr">
        <is>
          <t>VÄSTRA GÖTALANDS LÄN</t>
        </is>
      </c>
      <c r="G178" t="inlineStr">
        <is>
          <t>SKÖVDE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46261</v>
      </c>
      <c r="F179" t="inlineStr">
        <is>
          <t>VÄSTRA GÖTALANDS LÄN</t>
        </is>
      </c>
      <c r="G179" t="inlineStr">
        <is>
          <t>SKÖVDE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46261</v>
      </c>
      <c r="F180" t="inlineStr">
        <is>
          <t>VÄSTRA GÖTALANDS LÄN</t>
        </is>
      </c>
      <c r="G180" t="inlineStr">
        <is>
          <t>SKÖVDE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46261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46261</v>
      </c>
      <c r="F182" t="inlineStr">
        <is>
          <t>VÄSTRA GÖTALANDS LÄN</t>
        </is>
      </c>
      <c r="G182" t="inlineStr">
        <is>
          <t>SKÖVDE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46261</v>
      </c>
      <c r="F183" t="inlineStr">
        <is>
          <t>VÄSTRA GÖTALANDS LÄN</t>
        </is>
      </c>
      <c r="G183" t="inlineStr">
        <is>
          <t>SKÖVDE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44750</v>
      </c>
      <c r="E184" s="1" t="n">
        <v>46261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46261</v>
      </c>
      <c r="F185" t="inlineStr">
        <is>
          <t>VÄSTRA GÖTALANDS LÄN</t>
        </is>
      </c>
      <c r="G185" t="inlineStr">
        <is>
          <t>SKÖVDE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46261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46261</v>
      </c>
      <c r="F187" t="inlineStr">
        <is>
          <t>VÄSTRA GÖTALANDS LÄN</t>
        </is>
      </c>
      <c r="G187" t="inlineStr">
        <is>
          <t>SKÖVDE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46261</v>
      </c>
      <c r="F188" t="inlineStr">
        <is>
          <t>VÄSTRA GÖTALANDS LÄN</t>
        </is>
      </c>
      <c r="G188" t="inlineStr">
        <is>
          <t>SKÖVDE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46261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46261</v>
      </c>
      <c r="F190" t="inlineStr">
        <is>
          <t>VÄSTRA GÖTALANDS LÄN</t>
        </is>
      </c>
      <c r="G190" t="inlineStr">
        <is>
          <t>SKÖVDE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46261</v>
      </c>
      <c r="F191" t="inlineStr">
        <is>
          <t>VÄSTRA GÖTALANDS LÄN</t>
        </is>
      </c>
      <c r="G191" t="inlineStr">
        <is>
          <t>SKÖVDE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46261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Kommuner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13669-2023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45006</v>
      </c>
      <c r="E193" s="1" t="n">
        <v>46261</v>
      </c>
      <c r="F193" t="inlineStr">
        <is>
          <t>VÄSTRA GÖTALANDS LÄN</t>
        </is>
      </c>
      <c r="G193" t="inlineStr">
        <is>
          <t>SKÖVDE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2901-2026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46038</v>
      </c>
      <c r="E194" s="1" t="n">
        <v>46261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46261</v>
      </c>
      <c r="F195" t="inlineStr">
        <is>
          <t>VÄSTRA GÖTALANDS LÄN</t>
        </is>
      </c>
      <c r="G195" t="inlineStr">
        <is>
          <t>SKÖVDE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46261</v>
      </c>
      <c r="F196" t="inlineStr">
        <is>
          <t>VÄSTRA GÖTALANDS LÄN</t>
        </is>
      </c>
      <c r="G196" t="inlineStr">
        <is>
          <t>SKÖVDE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46261</v>
      </c>
      <c r="F197" t="inlineStr">
        <is>
          <t>VÄSTRA GÖTALANDS LÄN</t>
        </is>
      </c>
      <c r="G197" t="inlineStr">
        <is>
          <t>SKÖVDE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46261</v>
      </c>
      <c r="F198" t="inlineStr">
        <is>
          <t>VÄSTRA GÖTALANDS LÄN</t>
        </is>
      </c>
      <c r="G198" t="inlineStr">
        <is>
          <t>SKÖVDE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46261</v>
      </c>
      <c r="F199" t="inlineStr">
        <is>
          <t>VÄSTRA GÖTALANDS LÄN</t>
        </is>
      </c>
      <c r="G199" t="inlineStr">
        <is>
          <t>SKÖVDE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46261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46261</v>
      </c>
      <c r="F201" t="inlineStr">
        <is>
          <t>VÄSTRA GÖTALANDS LÄN</t>
        </is>
      </c>
      <c r="G201" t="inlineStr">
        <is>
          <t>SKÖVDE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46261</v>
      </c>
      <c r="F202" t="inlineStr">
        <is>
          <t>VÄSTRA GÖTALANDS LÄN</t>
        </is>
      </c>
      <c r="G202" t="inlineStr">
        <is>
          <t>SKÖVDE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26914-2026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46185</v>
      </c>
      <c r="E203" s="1" t="n">
        <v>46261</v>
      </c>
      <c r="F203" t="inlineStr">
        <is>
          <t>VÄSTRA GÖTALANDS LÄN</t>
        </is>
      </c>
      <c r="G203" t="inlineStr">
        <is>
          <t>SKÖVDE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44739</v>
      </c>
      <c r="E204" s="1" t="n">
        <v>46261</v>
      </c>
      <c r="F204" t="inlineStr">
        <is>
          <t>VÄSTRA GÖTALANDS LÄN</t>
        </is>
      </c>
      <c r="G204" t="inlineStr">
        <is>
          <t>SKÖVDE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46261</v>
      </c>
      <c r="F205" t="inlineStr">
        <is>
          <t>VÄSTRA GÖTALANDS LÄN</t>
        </is>
      </c>
      <c r="G205" t="inlineStr">
        <is>
          <t>SKÖVDE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46261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46261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46261</v>
      </c>
      <c r="F208" t="inlineStr">
        <is>
          <t>VÄSTRA GÖTALANDS LÄN</t>
        </is>
      </c>
      <c r="G208" t="inlineStr">
        <is>
          <t>SKÖVDE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46261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46261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51886-2021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46261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46261</v>
      </c>
      <c r="F212" t="inlineStr">
        <is>
          <t>VÄSTRA GÖTALANDS LÄN</t>
        </is>
      </c>
      <c r="G212" t="inlineStr">
        <is>
          <t>SKÖVDE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17798-2024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45418</v>
      </c>
      <c r="E213" s="1" t="n">
        <v>46261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46261</v>
      </c>
      <c r="F214" t="inlineStr">
        <is>
          <t>VÄSTRA GÖTALANDS LÄN</t>
        </is>
      </c>
      <c r="G214" t="inlineStr">
        <is>
          <t>SKÖVDE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46261</v>
      </c>
      <c r="F215" t="inlineStr">
        <is>
          <t>VÄSTRA GÖTALANDS LÄN</t>
        </is>
      </c>
      <c r="G215" t="inlineStr">
        <is>
          <t>SKÖVDE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46261</v>
      </c>
      <c r="F216" t="inlineStr">
        <is>
          <t>VÄSTRA GÖTALANDS LÄN</t>
        </is>
      </c>
      <c r="G216" t="inlineStr">
        <is>
          <t>SKÖVDE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46129</v>
      </c>
      <c r="E217" s="1" t="n">
        <v>46261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46261</v>
      </c>
      <c r="F218" t="inlineStr">
        <is>
          <t>VÄSTRA GÖTALANDS LÄN</t>
        </is>
      </c>
      <c r="G218" t="inlineStr">
        <is>
          <t>SKÖVDE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46261</v>
      </c>
      <c r="F219" t="inlineStr">
        <is>
          <t>VÄSTRA GÖTALANDS LÄN</t>
        </is>
      </c>
      <c r="G219" t="inlineStr">
        <is>
          <t>SKÖVDE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46261</v>
      </c>
      <c r="F220" t="inlineStr">
        <is>
          <t>VÄSTRA GÖTALANDS LÄN</t>
        </is>
      </c>
      <c r="G220" t="inlineStr">
        <is>
          <t>SKÖVDE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45590</v>
      </c>
      <c r="E221" s="1" t="n">
        <v>46261</v>
      </c>
      <c r="F221" t="inlineStr">
        <is>
          <t>VÄSTRA GÖTALANDS LÄN</t>
        </is>
      </c>
      <c r="G221" t="inlineStr">
        <is>
          <t>SKÖVDE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46261</v>
      </c>
      <c r="F222" t="inlineStr">
        <is>
          <t>VÄSTRA GÖTALANDS LÄN</t>
        </is>
      </c>
      <c r="G222" t="inlineStr">
        <is>
          <t>SKÖVDE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46261</v>
      </c>
      <c r="F223" t="inlineStr">
        <is>
          <t>VÄSTRA GÖTALANDS LÄN</t>
        </is>
      </c>
      <c r="G223" t="inlineStr">
        <is>
          <t>SKÖVDE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45385</v>
      </c>
      <c r="E224" s="1" t="n">
        <v>46261</v>
      </c>
      <c r="F224" t="inlineStr">
        <is>
          <t>VÄSTRA GÖTALANDS LÄN</t>
        </is>
      </c>
      <c r="G224" t="inlineStr">
        <is>
          <t>SKÖVDE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46261</v>
      </c>
      <c r="F225" t="inlineStr">
        <is>
          <t>VÄSTRA GÖTALANDS LÄN</t>
        </is>
      </c>
      <c r="G225" t="inlineStr">
        <is>
          <t>SKÖVDE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46261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46261</v>
      </c>
      <c r="F227" t="inlineStr">
        <is>
          <t>VÄSTRA GÖTALANDS LÄN</t>
        </is>
      </c>
      <c r="G227" t="inlineStr">
        <is>
          <t>SKÖVDE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45134</v>
      </c>
      <c r="E228" s="1" t="n">
        <v>46261</v>
      </c>
      <c r="F228" t="inlineStr">
        <is>
          <t>VÄSTRA GÖTALANDS LÄN</t>
        </is>
      </c>
      <c r="G228" t="inlineStr">
        <is>
          <t>SKÖVDE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46261</v>
      </c>
      <c r="F229" t="inlineStr">
        <is>
          <t>VÄSTRA GÖTALANDS LÄN</t>
        </is>
      </c>
      <c r="G229" t="inlineStr">
        <is>
          <t>SKÖVDE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46261</v>
      </c>
      <c r="F230" t="inlineStr">
        <is>
          <t>VÄSTRA GÖTALANDS LÄN</t>
        </is>
      </c>
      <c r="G230" t="inlineStr">
        <is>
          <t>SKÖVDE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44586</v>
      </c>
      <c r="E231" s="1" t="n">
        <v>46261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45301</v>
      </c>
      <c r="E232" s="1" t="n">
        <v>46261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44796</v>
      </c>
      <c r="E233" s="1" t="n">
        <v>46261</v>
      </c>
      <c r="F233" t="inlineStr">
        <is>
          <t>VÄSTRA GÖTALANDS LÄN</t>
        </is>
      </c>
      <c r="G233" t="inlineStr">
        <is>
          <t>SKÖVDE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46261</v>
      </c>
      <c r="F234" t="inlineStr">
        <is>
          <t>VÄSTRA GÖTALANDS LÄN</t>
        </is>
      </c>
      <c r="G234" t="inlineStr">
        <is>
          <t>SKÖVDE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45737</v>
      </c>
      <c r="E235" s="1" t="n">
        <v>46261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46261</v>
      </c>
      <c r="F236" t="inlineStr">
        <is>
          <t>VÄSTRA GÖTALANDS LÄN</t>
        </is>
      </c>
      <c r="G236" t="inlineStr">
        <is>
          <t>SKÖVDE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44601</v>
      </c>
      <c r="E237" s="1" t="n">
        <v>46261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Kommuner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46261</v>
      </c>
      <c r="F238" t="inlineStr">
        <is>
          <t>VÄSTRA GÖTALANDS LÄN</t>
        </is>
      </c>
      <c r="G238" t="inlineStr">
        <is>
          <t>SKÖVDE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46261</v>
      </c>
      <c r="F239" t="inlineStr">
        <is>
          <t>VÄSTRA GÖTALANDS LÄN</t>
        </is>
      </c>
      <c r="G239" t="inlineStr">
        <is>
          <t>SKÖVDE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46261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46261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67134-2021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46261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46261</v>
      </c>
      <c r="F243" t="inlineStr">
        <is>
          <t>VÄSTRA GÖTALANDS LÄN</t>
        </is>
      </c>
      <c r="G243" t="inlineStr">
        <is>
          <t>SKÖVDE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46261</v>
      </c>
      <c r="F244" t="inlineStr">
        <is>
          <t>VÄSTRA GÖTALANDS LÄN</t>
        </is>
      </c>
      <c r="G244" t="inlineStr">
        <is>
          <t>SKÖVDE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46261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60117-2021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44495</v>
      </c>
      <c r="E246" s="1" t="n">
        <v>46261</v>
      </c>
      <c r="F246" t="inlineStr">
        <is>
          <t>VÄSTRA GÖTALANDS LÄN</t>
        </is>
      </c>
      <c r="G246" t="inlineStr">
        <is>
          <t>SKÖVDE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35280-2024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45530</v>
      </c>
      <c r="E247" s="1" t="n">
        <v>46261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46261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46261</v>
      </c>
      <c r="F249" t="inlineStr">
        <is>
          <t>VÄSTRA GÖTALANDS LÄN</t>
        </is>
      </c>
      <c r="G249" t="inlineStr">
        <is>
          <t>SKÖVDE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46261</v>
      </c>
      <c r="F250" t="inlineStr">
        <is>
          <t>VÄSTRA GÖTALANDS LÄN</t>
        </is>
      </c>
      <c r="G250" t="inlineStr">
        <is>
          <t>SKÖVDE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45687</v>
      </c>
      <c r="E251" s="1" t="n">
        <v>46261</v>
      </c>
      <c r="F251" t="inlineStr">
        <is>
          <t>VÄSTRA GÖTALANDS LÄN</t>
        </is>
      </c>
      <c r="G251" t="inlineStr">
        <is>
          <t>SKÖVDE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46261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46261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46261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46261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46261</v>
      </c>
      <c r="F256" t="inlineStr">
        <is>
          <t>VÄSTRA GÖTALANDS LÄN</t>
        </is>
      </c>
      <c r="G256" t="inlineStr">
        <is>
          <t>SKÖVDE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46261</v>
      </c>
      <c r="F257" t="inlineStr">
        <is>
          <t>VÄSTRA GÖTALANDS LÄN</t>
        </is>
      </c>
      <c r="G257" t="inlineStr">
        <is>
          <t>SKÖVDE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60588-2023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45259</v>
      </c>
      <c r="E258" s="1" t="n">
        <v>46261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46261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46261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46261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2026-08-27T01:51:38Z</dcterms:created>
  <dcterms:modified xmlns:dcterms="http://purl.org/dc/terms/" xmlns:xsi="http://www.w3.org/2001/XMLSchema-instance" xsi:type="dcterms:W3CDTF">2026-08-27T01:51:38Z</dcterms:modified>
</cp:coreProperties>
</file>