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46182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5481-2022</t>
        </is>
      </c>
      <c r="B3" s="1" t="n">
        <v>44595</v>
      </c>
      <c r="C3" s="1" t="n">
        <v>46182</v>
      </c>
      <c r="D3" t="inlineStr">
        <is>
          <t>VÄSTRA GÖTALANDS LÄN</t>
        </is>
      </c>
      <c r="E3" t="inlineStr">
        <is>
          <t>SKÖVDE</t>
        </is>
      </c>
      <c r="F3" t="inlineStr">
        <is>
          <t>Kommuner</t>
        </is>
      </c>
      <c r="G3" t="n">
        <v>2.3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Grantaggsvamp
Skogsknipprot
Revlummer</t>
        </is>
      </c>
      <c r="S3">
        <f>HYPERLINK("https://klasma.github.io/Logging_1496/artfynd/A 5481-2022 artfynd.xlsx", "A 5481-2022")</f>
        <v/>
      </c>
      <c r="T3">
        <f>HYPERLINK("https://klasma.github.io/Logging_1496/kartor/A 5481-2022 karta.png", "A 5481-2022")</f>
        <v/>
      </c>
      <c r="U3">
        <f>HYPERLINK("https://klasma.github.io/Logging_1496/knärot/A 5481-2022 karta knärot.png", "A 5481-2022")</f>
        <v/>
      </c>
      <c r="V3">
        <f>HYPERLINK("https://klasma.github.io/Logging_1496/klagomål/A 5481-2022 FSC-klagomål.docx", "A 5481-2022")</f>
        <v/>
      </c>
      <c r="W3">
        <f>HYPERLINK("https://klasma.github.io/Logging_1496/klagomålsmail/A 5481-2022 FSC-klagomål mail.docx", "A 5481-2022")</f>
        <v/>
      </c>
      <c r="X3">
        <f>HYPERLINK("https://klasma.github.io/Logging_1496/tillsyn/A 5481-2022 tillsynsbegäran.docx", "A 5481-2022")</f>
        <v/>
      </c>
      <c r="Y3">
        <f>HYPERLINK("https://klasma.github.io/Logging_1496/tillsynsmail/A 5481-2022 tillsynsbegäran mail.docx", "A 5481-2022")</f>
        <v/>
      </c>
    </row>
    <row r="4" ht="15" customHeight="1">
      <c r="A4" t="inlineStr">
        <is>
          <t>A 37358-2025</t>
        </is>
      </c>
      <c r="B4" s="1" t="n">
        <v>45876.88369212963</v>
      </c>
      <c r="C4" s="1" t="n">
        <v>46182</v>
      </c>
      <c r="D4" t="inlineStr">
        <is>
          <t>VÄSTRA GÖTALANDS LÄN</t>
        </is>
      </c>
      <c r="E4" t="inlineStr">
        <is>
          <t>SKÖVDE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Trollsmultron
Svart trolldruva
Tibast
Fläcknycklar</t>
        </is>
      </c>
      <c r="S4">
        <f>HYPERLINK("https://klasma.github.io/Logging_1496/artfynd/A 37358-2025 artfynd.xlsx", "A 37358-2025")</f>
        <v/>
      </c>
      <c r="T4">
        <f>HYPERLINK("https://klasma.github.io/Logging_1496/kartor/A 37358-2025 karta.png", "A 37358-2025")</f>
        <v/>
      </c>
      <c r="V4">
        <f>HYPERLINK("https://klasma.github.io/Logging_1496/klagomål/A 37358-2025 FSC-klagomål.docx", "A 37358-2025")</f>
        <v/>
      </c>
      <c r="W4">
        <f>HYPERLINK("https://klasma.github.io/Logging_1496/klagomålsmail/A 37358-2025 FSC-klagomål mail.docx", "A 37358-2025")</f>
        <v/>
      </c>
      <c r="X4">
        <f>HYPERLINK("https://klasma.github.io/Logging_1496/tillsyn/A 37358-2025 tillsynsbegäran.docx", "A 37358-2025")</f>
        <v/>
      </c>
      <c r="Y4">
        <f>HYPERLINK("https://klasma.github.io/Logging_1496/tillsynsmail/A 37358-2025 tillsynsbegäran mail.docx", "A 37358-2025")</f>
        <v/>
      </c>
    </row>
    <row r="5" ht="15" customHeight="1">
      <c r="A5" t="inlineStr">
        <is>
          <t>A 57163-2025</t>
        </is>
      </c>
      <c r="B5" s="1" t="n">
        <v>45979.53326388889</v>
      </c>
      <c r="C5" s="1" t="n">
        <v>46182</v>
      </c>
      <c r="D5" t="inlineStr">
        <is>
          <t>VÄSTRA GÖTALANDS LÄN</t>
        </is>
      </c>
      <c r="E5" t="inlineStr">
        <is>
          <t>SKÖVDE</t>
        </is>
      </c>
      <c r="G5" t="n">
        <v>2.8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Motaggsvamp
Orange taggsvamp
Dropptaggsvamp</t>
        </is>
      </c>
      <c r="S5">
        <f>HYPERLINK("https://klasma.github.io/Logging_1496/artfynd/A 57163-2025 artfynd.xlsx", "A 57163-2025")</f>
        <v/>
      </c>
      <c r="T5">
        <f>HYPERLINK("https://klasma.github.io/Logging_1496/kartor/A 57163-2025 karta.png", "A 57163-2025")</f>
        <v/>
      </c>
      <c r="U5">
        <f>HYPERLINK("https://klasma.github.io/Logging_1496/knärot/A 57163-2025 karta knärot.png", "A 57163-2025")</f>
        <v/>
      </c>
      <c r="V5">
        <f>HYPERLINK("https://klasma.github.io/Logging_1496/klagomål/A 57163-2025 FSC-klagomål.docx", "A 57163-2025")</f>
        <v/>
      </c>
      <c r="W5">
        <f>HYPERLINK("https://klasma.github.io/Logging_1496/klagomålsmail/A 57163-2025 FSC-klagomål mail.docx", "A 57163-2025")</f>
        <v/>
      </c>
      <c r="X5">
        <f>HYPERLINK("https://klasma.github.io/Logging_1496/tillsyn/A 57163-2025 tillsynsbegäran.docx", "A 57163-2025")</f>
        <v/>
      </c>
      <c r="Y5">
        <f>HYPERLINK("https://klasma.github.io/Logging_1496/tillsynsmail/A 57163-2025 tillsynsbegäran mail.docx", "A 57163-2025")</f>
        <v/>
      </c>
    </row>
    <row r="6" ht="15" customHeight="1">
      <c r="A6" t="inlineStr">
        <is>
          <t>A 63699-2025</t>
        </is>
      </c>
      <c r="B6" s="1" t="n">
        <v>46014.57848379629</v>
      </c>
      <c r="C6" s="1" t="n">
        <v>46182</v>
      </c>
      <c r="D6" t="inlineStr">
        <is>
          <t>VÄSTRA GÖTALANDS LÄN</t>
        </is>
      </c>
      <c r="E6" t="inlineStr">
        <is>
          <t>SKÖVDE</t>
        </is>
      </c>
      <c r="G6" t="n">
        <v>1.2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Gullklöver
Kungsspindling
Brun klibbskivling
Diskvaxskivling</t>
        </is>
      </c>
      <c r="S6">
        <f>HYPERLINK("https://klasma.github.io/Logging_1496/artfynd/A 63699-2025 artfynd.xlsx", "A 63699-2025")</f>
        <v/>
      </c>
      <c r="T6">
        <f>HYPERLINK("https://klasma.github.io/Logging_1496/kartor/A 63699-2025 karta.png", "A 63699-2025")</f>
        <v/>
      </c>
      <c r="V6">
        <f>HYPERLINK("https://klasma.github.io/Logging_1496/klagomål/A 63699-2025 FSC-klagomål.docx", "A 63699-2025")</f>
        <v/>
      </c>
      <c r="W6">
        <f>HYPERLINK("https://klasma.github.io/Logging_1496/klagomålsmail/A 63699-2025 FSC-klagomål mail.docx", "A 63699-2025")</f>
        <v/>
      </c>
      <c r="X6">
        <f>HYPERLINK("https://klasma.github.io/Logging_1496/tillsyn/A 63699-2025 tillsynsbegäran.docx", "A 63699-2025")</f>
        <v/>
      </c>
      <c r="Y6">
        <f>HYPERLINK("https://klasma.github.io/Logging_1496/tillsynsmail/A 63699-2025 tillsynsbegäran mail.docx", "A 63699-2025")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46182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46182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19978-2026</t>
        </is>
      </c>
      <c r="B9" s="1" t="n">
        <v>46136.4440625</v>
      </c>
      <c r="C9" s="1" t="n">
        <v>46182</v>
      </c>
      <c r="D9" t="inlineStr">
        <is>
          <t>VÄSTRA GÖTALANDS LÄN</t>
        </is>
      </c>
      <c r="E9" t="inlineStr">
        <is>
          <t>SKÖVDE</t>
        </is>
      </c>
      <c r="G9" t="n">
        <v>9.6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Lundvaxskivling
Brun purpurspindling
Blåsippa
Gullviva</t>
        </is>
      </c>
      <c r="S9">
        <f>HYPERLINK("https://klasma.github.io/Logging_1496/artfynd/A 19978-2026 artfynd.xlsx", "A 19978-2026")</f>
        <v/>
      </c>
      <c r="T9">
        <f>HYPERLINK("https://klasma.github.io/Logging_1496/kartor/A 19978-2026 karta.png", "A 19978-2026")</f>
        <v/>
      </c>
      <c r="V9">
        <f>HYPERLINK("https://klasma.github.io/Logging_1496/klagomål/A 19978-2026 FSC-klagomål.docx", "A 19978-2026")</f>
        <v/>
      </c>
      <c r="W9">
        <f>HYPERLINK("https://klasma.github.io/Logging_1496/klagomålsmail/A 19978-2026 FSC-klagomål mail.docx", "A 19978-2026")</f>
        <v/>
      </c>
      <c r="X9">
        <f>HYPERLINK("https://klasma.github.io/Logging_1496/tillsyn/A 19978-2026 tillsynsbegäran.docx", "A 19978-2026")</f>
        <v/>
      </c>
      <c r="Y9">
        <f>HYPERLINK("https://klasma.github.io/Logging_1496/tillsynsmail/A 19978-2026 tillsynsbegäran mail.docx", "A 19978-2026")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46182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46182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46182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22268-2025</t>
        </is>
      </c>
      <c r="B13" s="1" t="n">
        <v>45785</v>
      </c>
      <c r="C13" s="1" t="n">
        <v>46182</v>
      </c>
      <c r="D13" t="inlineStr">
        <is>
          <t>VÄSTRA GÖTALANDS LÄN</t>
        </is>
      </c>
      <c r="E13" t="inlineStr">
        <is>
          <t>SKÖVDE</t>
        </is>
      </c>
      <c r="G13" t="n">
        <v>1.4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Motaggsvamp
Svart taggsvamp agg.</t>
        </is>
      </c>
      <c r="S13">
        <f>HYPERLINK("https://klasma.github.io/Logging_1496/artfynd/A 22268-2025 artfynd.xlsx", "A 22268-2025")</f>
        <v/>
      </c>
      <c r="T13">
        <f>HYPERLINK("https://klasma.github.io/Logging_1496/kartor/A 22268-2025 karta.png", "A 22268-2025")</f>
        <v/>
      </c>
      <c r="U13">
        <f>HYPERLINK("https://klasma.github.io/Logging_1496/knärot/A 22268-2025 karta knärot.png", "A 22268-2025")</f>
        <v/>
      </c>
      <c r="V13">
        <f>HYPERLINK("https://klasma.github.io/Logging_1496/klagomål/A 22268-2025 FSC-klagomål.docx", "A 22268-2025")</f>
        <v/>
      </c>
      <c r="W13">
        <f>HYPERLINK("https://klasma.github.io/Logging_1496/klagomålsmail/A 22268-2025 FSC-klagomål mail.docx", "A 22268-2025")</f>
        <v/>
      </c>
      <c r="X13">
        <f>HYPERLINK("https://klasma.github.io/Logging_1496/tillsyn/A 22268-2025 tillsynsbegäran.docx", "A 22268-2025")</f>
        <v/>
      </c>
      <c r="Y13">
        <f>HYPERLINK("https://klasma.github.io/Logging_1496/tillsynsmail/A 22268-2025 tillsynsbegäran mail.docx", "A 22268-2025")</f>
        <v/>
      </c>
    </row>
    <row r="14" ht="15" customHeight="1">
      <c r="A14" t="inlineStr">
        <is>
          <t>A 31621-2024</t>
        </is>
      </c>
      <c r="B14" s="1" t="n">
        <v>45506.47185185185</v>
      </c>
      <c r="C14" s="1" t="n">
        <v>46182</v>
      </c>
      <c r="D14" t="inlineStr">
        <is>
          <t>VÄSTRA GÖTALANDS LÄN</t>
        </is>
      </c>
      <c r="E14" t="inlineStr">
        <is>
          <t>SKÖVDE</t>
        </is>
      </c>
      <c r="G14" t="n">
        <v>1.3</v>
      </c>
      <c r="H14" t="n">
        <v>0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Plattsäv
Majviva</t>
        </is>
      </c>
      <c r="S14">
        <f>HYPERLINK("https://klasma.github.io/Logging_1496/artfynd/A 31621-2024 artfynd.xlsx", "A 31621-2024")</f>
        <v/>
      </c>
      <c r="T14">
        <f>HYPERLINK("https://klasma.github.io/Logging_1496/kartor/A 31621-2024 karta.png", "A 31621-2024")</f>
        <v/>
      </c>
      <c r="V14">
        <f>HYPERLINK("https://klasma.github.io/Logging_1496/klagomål/A 31621-2024 FSC-klagomål.docx", "A 31621-2024")</f>
        <v/>
      </c>
      <c r="W14">
        <f>HYPERLINK("https://klasma.github.io/Logging_1496/klagomålsmail/A 31621-2024 FSC-klagomål mail.docx", "A 31621-2024")</f>
        <v/>
      </c>
      <c r="X14">
        <f>HYPERLINK("https://klasma.github.io/Logging_1496/tillsyn/A 31621-2024 tillsynsbegäran.docx", "A 31621-2024")</f>
        <v/>
      </c>
      <c r="Y14">
        <f>HYPERLINK("https://klasma.github.io/Logging_1496/tillsynsmail/A 31621-2024 tillsynsbegäran mail.docx", "A 31621-2024")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46182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46182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46182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46182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11192-2026</t>
        </is>
      </c>
      <c r="B19" s="1" t="n">
        <v>46080</v>
      </c>
      <c r="C19" s="1" t="n">
        <v>46182</v>
      </c>
      <c r="D19" t="inlineStr">
        <is>
          <t>VÄSTRA GÖTALANDS LÄN</t>
        </is>
      </c>
      <c r="E19" t="inlineStr">
        <is>
          <t>SKÖVDE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HYPERLINK("https://klasma.github.io/Logging_1496/artfynd/A 11192-2026 artfynd.xlsx", "A 11192-2026")</f>
        <v/>
      </c>
      <c r="T19">
        <f>HYPERLINK("https://klasma.github.io/Logging_1496/kartor/A 11192-2026 karta.png", "A 11192-2026")</f>
        <v/>
      </c>
      <c r="V19">
        <f>HYPERLINK("https://klasma.github.io/Logging_1496/klagomål/A 11192-2026 FSC-klagomål.docx", "A 11192-2026")</f>
        <v/>
      </c>
      <c r="W19">
        <f>HYPERLINK("https://klasma.github.io/Logging_1496/klagomålsmail/A 11192-2026 FSC-klagomål mail.docx", "A 11192-2026")</f>
        <v/>
      </c>
      <c r="X19">
        <f>HYPERLINK("https://klasma.github.io/Logging_1496/tillsyn/A 11192-2026 tillsynsbegäran.docx", "A 11192-2026")</f>
        <v/>
      </c>
      <c r="Y19">
        <f>HYPERLINK("https://klasma.github.io/Logging_1496/tillsynsmail/A 11192-2026 tillsynsbegäran mail.docx", "A 11192-2026")</f>
        <v/>
      </c>
    </row>
    <row r="20" ht="15" customHeight="1">
      <c r="A20" t="inlineStr">
        <is>
          <t>A 2579-2023</t>
        </is>
      </c>
      <c r="B20" s="1" t="n">
        <v>44943</v>
      </c>
      <c r="C20" s="1" t="n">
        <v>46182</v>
      </c>
      <c r="D20" t="inlineStr">
        <is>
          <t>VÄSTRA GÖTALANDS LÄN</t>
        </is>
      </c>
      <c r="E20" t="inlineStr">
        <is>
          <t>SKÖVDE</t>
        </is>
      </c>
      <c r="G20" t="n">
        <v>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Svart trolldruva
Fläcknycklar</t>
        </is>
      </c>
      <c r="S20">
        <f>HYPERLINK("https://klasma.github.io/Logging_1496/artfynd/A 2579-2023 artfynd.xlsx", "A 2579-2023")</f>
        <v/>
      </c>
      <c r="T20">
        <f>HYPERLINK("https://klasma.github.io/Logging_1496/kartor/A 2579-2023 karta.png", "A 2579-2023")</f>
        <v/>
      </c>
      <c r="V20">
        <f>HYPERLINK("https://klasma.github.io/Logging_1496/klagomål/A 2579-2023 FSC-klagomål.docx", "A 2579-2023")</f>
        <v/>
      </c>
      <c r="W20">
        <f>HYPERLINK("https://klasma.github.io/Logging_1496/klagomålsmail/A 2579-2023 FSC-klagomål mail.docx", "A 2579-2023")</f>
        <v/>
      </c>
      <c r="X20">
        <f>HYPERLINK("https://klasma.github.io/Logging_1496/tillsyn/A 2579-2023 tillsynsbegäran.docx", "A 2579-2023")</f>
        <v/>
      </c>
      <c r="Y20">
        <f>HYPERLINK("https://klasma.github.io/Logging_1496/tillsynsmail/A 2579-2023 tillsynsbegäran mail.docx", "A 2579-2023")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46182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46182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46182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4464-2026</t>
        </is>
      </c>
      <c r="B24" s="1" t="n">
        <v>46045.6518287037</v>
      </c>
      <c r="C24" s="1" t="n">
        <v>46182</v>
      </c>
      <c r="D24" t="inlineStr">
        <is>
          <t>VÄSTRA GÖTALANDS LÄN</t>
        </is>
      </c>
      <c r="E24" t="inlineStr">
        <is>
          <t>SKÖVDE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HYPERLINK("https://klasma.github.io/Logging_1496/artfynd/A 4464-2026 artfynd.xlsx", "A 4464-2026")</f>
        <v/>
      </c>
      <c r="T24">
        <f>HYPERLINK("https://klasma.github.io/Logging_1496/kartor/A 4464-2026 karta.png", "A 4464-2026")</f>
        <v/>
      </c>
      <c r="V24">
        <f>HYPERLINK("https://klasma.github.io/Logging_1496/klagomål/A 4464-2026 FSC-klagomål.docx", "A 4464-2026")</f>
        <v/>
      </c>
      <c r="W24">
        <f>HYPERLINK("https://klasma.github.io/Logging_1496/klagomålsmail/A 4464-2026 FSC-klagomål mail.docx", "A 4464-2026")</f>
        <v/>
      </c>
      <c r="X24">
        <f>HYPERLINK("https://klasma.github.io/Logging_1496/tillsyn/A 4464-2026 tillsynsbegäran.docx", "A 4464-2026")</f>
        <v/>
      </c>
      <c r="Y24">
        <f>HYPERLINK("https://klasma.github.io/Logging_1496/tillsynsmail/A 4464-2026 tillsynsbegäran mail.docx", "A 4464-2026")</f>
        <v/>
      </c>
    </row>
    <row r="25" ht="15" customHeight="1">
      <c r="A25" t="inlineStr">
        <is>
          <t>A 6093-2026</t>
        </is>
      </c>
      <c r="B25" s="1" t="n">
        <v>46052</v>
      </c>
      <c r="C25" s="1" t="n">
        <v>46182</v>
      </c>
      <c r="D25" t="inlineStr">
        <is>
          <t>VÄSTRA GÖTALANDS LÄN</t>
        </is>
      </c>
      <c r="E25" t="inlineStr">
        <is>
          <t>SKÖVDE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HYPERLINK("https://klasma.github.io/Logging_1496/artfynd/A 6093-2026 artfynd.xlsx", "A 6093-2026")</f>
        <v/>
      </c>
      <c r="T25">
        <f>HYPERLINK("https://klasma.github.io/Logging_1496/kartor/A 6093-2026 karta.png", "A 6093-2026")</f>
        <v/>
      </c>
      <c r="V25">
        <f>HYPERLINK("https://klasma.github.io/Logging_1496/klagomål/A 6093-2026 FSC-klagomål.docx", "A 6093-2026")</f>
        <v/>
      </c>
      <c r="W25">
        <f>HYPERLINK("https://klasma.github.io/Logging_1496/klagomålsmail/A 6093-2026 FSC-klagomål mail.docx", "A 6093-2026")</f>
        <v/>
      </c>
      <c r="X25">
        <f>HYPERLINK("https://klasma.github.io/Logging_1496/tillsyn/A 6093-2026 tillsynsbegäran.docx", "A 6093-2026")</f>
        <v/>
      </c>
      <c r="Y25">
        <f>HYPERLINK("https://klasma.github.io/Logging_1496/tillsynsmail/A 6093-2026 tillsynsbegäran mail.docx", "A 6093-2026")</f>
        <v/>
      </c>
    </row>
    <row r="26" ht="15" customHeight="1">
      <c r="A26" t="inlineStr">
        <is>
          <t>A 60172-2021</t>
        </is>
      </c>
      <c r="B26" s="1" t="n">
        <v>44495</v>
      </c>
      <c r="C26" s="1" t="n">
        <v>46182</v>
      </c>
      <c r="D26" t="inlineStr">
        <is>
          <t>VÄSTRA GÖTALANDS LÄN</t>
        </is>
      </c>
      <c r="E26" t="inlineStr">
        <is>
          <t>SKÖVDE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HYPERLINK("https://klasma.github.io/Logging_1496/artfynd/A 60172-2021 artfynd.xlsx", "A 60172-2021")</f>
        <v/>
      </c>
      <c r="T26">
        <f>HYPERLINK("https://klasma.github.io/Logging_1496/kartor/A 60172-2021 karta.png", "A 60172-2021")</f>
        <v/>
      </c>
      <c r="V26">
        <f>HYPERLINK("https://klasma.github.io/Logging_1496/klagomål/A 60172-2021 FSC-klagomål.docx", "A 60172-2021")</f>
        <v/>
      </c>
      <c r="W26">
        <f>HYPERLINK("https://klasma.github.io/Logging_1496/klagomålsmail/A 60172-2021 FSC-klagomål mail.docx", "A 60172-2021")</f>
        <v/>
      </c>
      <c r="X26">
        <f>HYPERLINK("https://klasma.github.io/Logging_1496/tillsyn/A 60172-2021 tillsynsbegäran.docx", "A 60172-2021")</f>
        <v/>
      </c>
      <c r="Y26">
        <f>HYPERLINK("https://klasma.github.io/Logging_1496/tillsynsmail/A 60172-2021 tillsynsbegäran mail.docx", "A 60172-2021")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46182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100-2023</t>
        </is>
      </c>
      <c r="B28" s="1" t="n">
        <v>44928</v>
      </c>
      <c r="C28" s="1" t="n">
        <v>46182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HYPERLINK("https://klasma.github.io/Logging_1496/artfynd/A 100-2023 artfynd.xlsx", "A 100-2023")</f>
        <v/>
      </c>
      <c r="T28">
        <f>HYPERLINK("https://klasma.github.io/Logging_1496/kartor/A 100-2023 karta.png", "A 100-2023")</f>
        <v/>
      </c>
      <c r="V28">
        <f>HYPERLINK("https://klasma.github.io/Logging_1496/klagomål/A 100-2023 FSC-klagomål.docx", "A 100-2023")</f>
        <v/>
      </c>
      <c r="W28">
        <f>HYPERLINK("https://klasma.github.io/Logging_1496/klagomålsmail/A 100-2023 FSC-klagomål mail.docx", "A 100-2023")</f>
        <v/>
      </c>
      <c r="X28">
        <f>HYPERLINK("https://klasma.github.io/Logging_1496/tillsyn/A 100-2023 tillsynsbegäran.docx", "A 100-2023")</f>
        <v/>
      </c>
      <c r="Y28">
        <f>HYPERLINK("https://klasma.github.io/Logging_1496/tillsynsmail/A 100-2023 tillsynsbegäran mail.docx", "A 100-2023")</f>
        <v/>
      </c>
    </row>
    <row r="29" ht="15" customHeight="1">
      <c r="A29" t="inlineStr">
        <is>
          <t>A 58467-2024</t>
        </is>
      </c>
      <c r="B29" s="1" t="n">
        <v>45635.3708912037</v>
      </c>
      <c r="C29" s="1" t="n">
        <v>46182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Sommarfibbla</t>
        </is>
      </c>
      <c r="S29">
        <f>HYPERLINK("https://klasma.github.io/Logging_1496/artfynd/A 58467-2024 artfynd.xlsx", "A 58467-2024")</f>
        <v/>
      </c>
      <c r="T29">
        <f>HYPERLINK("https://klasma.github.io/Logging_1496/kartor/A 58467-2024 karta.png", "A 58467-2024")</f>
        <v/>
      </c>
      <c r="V29">
        <f>HYPERLINK("https://klasma.github.io/Logging_1496/klagomål/A 58467-2024 FSC-klagomål.docx", "A 58467-2024")</f>
        <v/>
      </c>
      <c r="W29">
        <f>HYPERLINK("https://klasma.github.io/Logging_1496/klagomålsmail/A 58467-2024 FSC-klagomål mail.docx", "A 58467-2024")</f>
        <v/>
      </c>
      <c r="X29">
        <f>HYPERLINK("https://klasma.github.io/Logging_1496/tillsyn/A 58467-2024 tillsynsbegäran.docx", "A 58467-2024")</f>
        <v/>
      </c>
      <c r="Y29">
        <f>HYPERLINK("https://klasma.github.io/Logging_1496/tillsynsmail/A 58467-2024 tillsynsbegäran mail.docx", "A 58467-2024")</f>
        <v/>
      </c>
    </row>
    <row r="30" ht="15" customHeight="1">
      <c r="A30" t="inlineStr">
        <is>
          <t>A 43859-2022</t>
        </is>
      </c>
      <c r="B30" s="1" t="n">
        <v>44837</v>
      </c>
      <c r="C30" s="1" t="n">
        <v>46182</v>
      </c>
      <c r="D30" t="inlineStr">
        <is>
          <t>VÄSTRA GÖTALANDS LÄN</t>
        </is>
      </c>
      <c r="E30" t="inlineStr">
        <is>
          <t>SKÖVDE</t>
        </is>
      </c>
      <c r="G30" t="n">
        <v>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HYPERLINK("https://klasma.github.io/Logging_1496/artfynd/A 43859-2022 artfynd.xlsx", "A 43859-2022")</f>
        <v/>
      </c>
      <c r="T30">
        <f>HYPERLINK("https://klasma.github.io/Logging_1496/kartor/A 43859-2022 karta.png", "A 43859-2022")</f>
        <v/>
      </c>
      <c r="V30">
        <f>HYPERLINK("https://klasma.github.io/Logging_1496/klagomål/A 43859-2022 FSC-klagomål.docx", "A 43859-2022")</f>
        <v/>
      </c>
      <c r="W30">
        <f>HYPERLINK("https://klasma.github.io/Logging_1496/klagomålsmail/A 43859-2022 FSC-klagomål mail.docx", "A 43859-2022")</f>
        <v/>
      </c>
      <c r="X30">
        <f>HYPERLINK("https://klasma.github.io/Logging_1496/tillsyn/A 43859-2022 tillsynsbegäran.docx", "A 43859-2022")</f>
        <v/>
      </c>
      <c r="Y30">
        <f>HYPERLINK("https://klasma.github.io/Logging_1496/tillsynsmail/A 43859-2022 tillsynsbegäran mail.docx", "A 43859-2022")</f>
        <v/>
      </c>
    </row>
    <row r="31" ht="15" customHeight="1">
      <c r="A31" t="inlineStr">
        <is>
          <t>A 47898-2023</t>
        </is>
      </c>
      <c r="B31" s="1" t="n">
        <v>45204.49358796296</v>
      </c>
      <c r="C31" s="1" t="n">
        <v>46182</v>
      </c>
      <c r="D31" t="inlineStr">
        <is>
          <t>VÄSTRA GÖTALANDS LÄN</t>
        </is>
      </c>
      <c r="E31" t="inlineStr">
        <is>
          <t>SKÖVDE</t>
        </is>
      </c>
      <c r="G31" t="n">
        <v>9.5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Karminticka</t>
        </is>
      </c>
      <c r="S31">
        <f>HYPERLINK("https://klasma.github.io/Logging_1496/artfynd/A 47898-2023 artfynd.xlsx", "A 47898-2023")</f>
        <v/>
      </c>
      <c r="T31">
        <f>HYPERLINK("https://klasma.github.io/Logging_1496/kartor/A 47898-2023 karta.png", "A 47898-2023")</f>
        <v/>
      </c>
      <c r="V31">
        <f>HYPERLINK("https://klasma.github.io/Logging_1496/klagomål/A 47898-2023 FSC-klagomål.docx", "A 47898-2023")</f>
        <v/>
      </c>
      <c r="W31">
        <f>HYPERLINK("https://klasma.github.io/Logging_1496/klagomålsmail/A 47898-2023 FSC-klagomål mail.docx", "A 47898-2023")</f>
        <v/>
      </c>
      <c r="X31">
        <f>HYPERLINK("https://klasma.github.io/Logging_1496/tillsyn/A 47898-2023 tillsynsbegäran.docx", "A 47898-2023")</f>
        <v/>
      </c>
      <c r="Y31">
        <f>HYPERLINK("https://klasma.github.io/Logging_1496/tillsynsmail/A 47898-2023 tillsynsbegäran mail.docx", "A 47898-2023")</f>
        <v/>
      </c>
    </row>
    <row r="32" ht="15" customHeight="1">
      <c r="A32" t="inlineStr">
        <is>
          <t>A 42904-2023</t>
        </is>
      </c>
      <c r="B32" s="1" t="n">
        <v>45182</v>
      </c>
      <c r="C32" s="1" t="n">
        <v>46182</v>
      </c>
      <c r="D32" t="inlineStr">
        <is>
          <t>VÄSTRA GÖTALANDS LÄN</t>
        </is>
      </c>
      <c r="E32" t="inlineStr">
        <is>
          <t>SKÖVDE</t>
        </is>
      </c>
      <c r="F32" t="inlineStr">
        <is>
          <t>Kommuner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HYPERLINK("https://klasma.github.io/Logging_1496/artfynd/A 42904-2023 artfynd.xlsx", "A 42904-2023")</f>
        <v/>
      </c>
      <c r="T32">
        <f>HYPERLINK("https://klasma.github.io/Logging_1496/kartor/A 42904-2023 karta.png", "A 42904-2023")</f>
        <v/>
      </c>
      <c r="V32">
        <f>HYPERLINK("https://klasma.github.io/Logging_1496/klagomål/A 42904-2023 FSC-klagomål.docx", "A 42904-2023")</f>
        <v/>
      </c>
      <c r="W32">
        <f>HYPERLINK("https://klasma.github.io/Logging_1496/klagomålsmail/A 42904-2023 FSC-klagomål mail.docx", "A 42904-2023")</f>
        <v/>
      </c>
      <c r="X32">
        <f>HYPERLINK("https://klasma.github.io/Logging_1496/tillsyn/A 42904-2023 tillsynsbegäran.docx", "A 42904-2023")</f>
        <v/>
      </c>
      <c r="Y32">
        <f>HYPERLINK("https://klasma.github.io/Logging_1496/tillsynsmail/A 42904-2023 tillsynsbegäran mail.docx", "A 42904-2023")</f>
        <v/>
      </c>
    </row>
    <row r="33" ht="15" customHeight="1">
      <c r="A33" t="inlineStr">
        <is>
          <t>A 24814-2026</t>
        </is>
      </c>
      <c r="B33" s="1" t="n">
        <v>46173.77466435185</v>
      </c>
      <c r="C33" s="1" t="n">
        <v>46182</v>
      </c>
      <c r="D33" t="inlineStr">
        <is>
          <t>VÄSTRA GÖTALANDS LÄN</t>
        </is>
      </c>
      <c r="E33" t="inlineStr">
        <is>
          <t>SKÖVDE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Svartoxe</t>
        </is>
      </c>
      <c r="S33">
        <f>HYPERLINK("https://klasma.github.io/Logging_1496/artfynd/A 24814-2026 artfynd.xlsx", "A 24814-2026")</f>
        <v/>
      </c>
      <c r="T33">
        <f>HYPERLINK("https://klasma.github.io/Logging_1496/kartor/A 24814-2026 karta.png", "A 24814-2026")</f>
        <v/>
      </c>
      <c r="V33">
        <f>HYPERLINK("https://klasma.github.io/Logging_1496/klagomål/A 24814-2026 FSC-klagomål.docx", "A 24814-2026")</f>
        <v/>
      </c>
      <c r="W33">
        <f>HYPERLINK("https://klasma.github.io/Logging_1496/klagomålsmail/A 24814-2026 FSC-klagomål mail.docx", "A 24814-2026")</f>
        <v/>
      </c>
      <c r="X33">
        <f>HYPERLINK("https://klasma.github.io/Logging_1496/tillsyn/A 24814-2026 tillsynsbegäran.docx", "A 24814-2026")</f>
        <v/>
      </c>
      <c r="Y33">
        <f>HYPERLINK("https://klasma.github.io/Logging_1496/tillsynsmail/A 24814-2026 tillsynsbegäran mail.docx", "A 24814-2026")</f>
        <v/>
      </c>
    </row>
    <row r="34" ht="15" customHeight="1">
      <c r="A34" t="inlineStr">
        <is>
          <t>A 46086-2021</t>
        </is>
      </c>
      <c r="B34" s="1" t="n">
        <v>44442.34412037037</v>
      </c>
      <c r="C34" s="1" t="n">
        <v>46182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41155-2021</t>
        </is>
      </c>
      <c r="B35" s="1" t="n">
        <v>44421</v>
      </c>
      <c r="C35" s="1" t="n">
        <v>46182</v>
      </c>
      <c r="D35" t="inlineStr">
        <is>
          <t>VÄSTRA GÖTALANDS LÄN</t>
        </is>
      </c>
      <c r="E35" t="inlineStr">
        <is>
          <t>SKÖVDE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46182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46182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46182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46182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46182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46182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46182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46182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46182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46182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46182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46182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46182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28508-2022</t>
        </is>
      </c>
      <c r="B49" s="1" t="n">
        <v>44748.33660879629</v>
      </c>
      <c r="C49" s="1" t="n">
        <v>46182</v>
      </c>
      <c r="D49" t="inlineStr">
        <is>
          <t>VÄSTRA GÖTALANDS LÄN</t>
        </is>
      </c>
      <c r="E49" t="inlineStr">
        <is>
          <t>SKÖVDE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28510-2022</t>
        </is>
      </c>
      <c r="B50" s="1" t="n">
        <v>44748.34445601852</v>
      </c>
      <c r="C50" s="1" t="n">
        <v>46182</v>
      </c>
      <c r="D50" t="inlineStr">
        <is>
          <t>VÄSTRA GÖTALANDS LÄN</t>
        </is>
      </c>
      <c r="E50" t="inlineStr">
        <is>
          <t>SKÖVDE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3488-2022</t>
        </is>
      </c>
      <c r="B51" s="1" t="n">
        <v>44585</v>
      </c>
      <c r="C51" s="1" t="n">
        <v>46182</v>
      </c>
      <c r="D51" t="inlineStr">
        <is>
          <t>VÄSTRA GÖTALANDS LÄN</t>
        </is>
      </c>
      <c r="E51" t="inlineStr">
        <is>
          <t>SKÖVDE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8817-2022</t>
        </is>
      </c>
      <c r="B52" s="1" t="n">
        <v>44614</v>
      </c>
      <c r="C52" s="1" t="n">
        <v>46182</v>
      </c>
      <c r="D52" t="inlineStr">
        <is>
          <t>VÄSTRA GÖTALANDS LÄN</t>
        </is>
      </c>
      <c r="E52" t="inlineStr">
        <is>
          <t>SKÖVDE</t>
        </is>
      </c>
      <c r="F52" t="inlineStr">
        <is>
          <t>Kyrkan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20279-2022</t>
        </is>
      </c>
      <c r="B53" s="1" t="n">
        <v>44698.71788194445</v>
      </c>
      <c r="C53" s="1" t="n">
        <v>46182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55575-2021</t>
        </is>
      </c>
      <c r="B54" s="1" t="n">
        <v>44475</v>
      </c>
      <c r="C54" s="1" t="n">
        <v>46182</v>
      </c>
      <c r="D54" t="inlineStr">
        <is>
          <t>VÄSTRA GÖTALANDS LÄN</t>
        </is>
      </c>
      <c r="E54" t="inlineStr">
        <is>
          <t>SKÖVDE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34744-2021</t>
        </is>
      </c>
      <c r="B55" s="1" t="n">
        <v>44382.6750462963</v>
      </c>
      <c r="C55" s="1" t="n">
        <v>46182</v>
      </c>
      <c r="D55" t="inlineStr">
        <is>
          <t>VÄSTRA GÖTALANDS LÄN</t>
        </is>
      </c>
      <c r="E55" t="inlineStr">
        <is>
          <t>SKÖVDE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37451-2022</t>
        </is>
      </c>
      <c r="B56" s="1" t="n">
        <v>44809</v>
      </c>
      <c r="C56" s="1" t="n">
        <v>46182</v>
      </c>
      <c r="D56" t="inlineStr">
        <is>
          <t>VÄSTRA GÖTALANDS LÄN</t>
        </is>
      </c>
      <c r="E56" t="inlineStr">
        <is>
          <t>SKÖVDE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46182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46182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27671-2022</t>
        </is>
      </c>
      <c r="B59" s="1" t="n">
        <v>44743.39986111111</v>
      </c>
      <c r="C59" s="1" t="n">
        <v>46182</v>
      </c>
      <c r="D59" t="inlineStr">
        <is>
          <t>VÄSTRA GÖTALANDS LÄN</t>
        </is>
      </c>
      <c r="E59" t="inlineStr">
        <is>
          <t>SKÖVDE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13669-2023</t>
        </is>
      </c>
      <c r="B60" s="1" t="n">
        <v>45006</v>
      </c>
      <c r="C60" s="1" t="n">
        <v>46182</v>
      </c>
      <c r="D60" t="inlineStr">
        <is>
          <t>VÄSTRA GÖTALANDS LÄN</t>
        </is>
      </c>
      <c r="E60" t="inlineStr">
        <is>
          <t>SKÖVDE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5308-2023</t>
        </is>
      </c>
      <c r="B61" s="1" t="n">
        <v>44959.55680555556</v>
      </c>
      <c r="C61" s="1" t="n">
        <v>46182</v>
      </c>
      <c r="D61" t="inlineStr">
        <is>
          <t>VÄSTRA GÖTALANDS LÄN</t>
        </is>
      </c>
      <c r="E61" t="inlineStr">
        <is>
          <t>SKÖVDE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11885-2022</t>
        </is>
      </c>
      <c r="B62" s="1" t="n">
        <v>44635.4016087963</v>
      </c>
      <c r="C62" s="1" t="n">
        <v>46182</v>
      </c>
      <c r="D62" t="inlineStr">
        <is>
          <t>VÄSTRA GÖTALANDS LÄN</t>
        </is>
      </c>
      <c r="E62" t="inlineStr">
        <is>
          <t>SKÖVDE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52377-2023</t>
        </is>
      </c>
      <c r="B63" s="1" t="n">
        <v>45224</v>
      </c>
      <c r="C63" s="1" t="n">
        <v>46182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20280-2022</t>
        </is>
      </c>
      <c r="B64" s="1" t="n">
        <v>44698.72146990741</v>
      </c>
      <c r="C64" s="1" t="n">
        <v>46182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46182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46182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46182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46182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46231-2022</t>
        </is>
      </c>
      <c r="B69" s="1" t="n">
        <v>44847</v>
      </c>
      <c r="C69" s="1" t="n">
        <v>46182</v>
      </c>
      <c r="D69" t="inlineStr">
        <is>
          <t>VÄSTRA GÖTALANDS LÄN</t>
        </is>
      </c>
      <c r="E69" t="inlineStr">
        <is>
          <t>SKÖVDE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48149-2023</t>
        </is>
      </c>
      <c r="B70" s="1" t="n">
        <v>45201</v>
      </c>
      <c r="C70" s="1" t="n">
        <v>46182</v>
      </c>
      <c r="D70" t="inlineStr">
        <is>
          <t>VÄSTRA GÖTALANDS LÄN</t>
        </is>
      </c>
      <c r="E70" t="inlineStr">
        <is>
          <t>SKÖVDE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41942-2021</t>
        </is>
      </c>
      <c r="B71" s="1" t="n">
        <v>44425</v>
      </c>
      <c r="C71" s="1" t="n">
        <v>46182</v>
      </c>
      <c r="D71" t="inlineStr">
        <is>
          <t>VÄSTRA GÖTALANDS LÄN</t>
        </is>
      </c>
      <c r="E71" t="inlineStr">
        <is>
          <t>SKÖVDE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34834-2022</t>
        </is>
      </c>
      <c r="B72" s="1" t="n">
        <v>44796</v>
      </c>
      <c r="C72" s="1" t="n">
        <v>46182</v>
      </c>
      <c r="D72" t="inlineStr">
        <is>
          <t>VÄSTRA GÖTALANDS LÄN</t>
        </is>
      </c>
      <c r="E72" t="inlineStr">
        <is>
          <t>SKÖVDE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26712-2025</t>
        </is>
      </c>
      <c r="B73" s="1" t="n">
        <v>45810.46396990741</v>
      </c>
      <c r="C73" s="1" t="n">
        <v>46182</v>
      </c>
      <c r="D73" t="inlineStr">
        <is>
          <t>VÄSTRA GÖTALANDS LÄN</t>
        </is>
      </c>
      <c r="E73" t="inlineStr">
        <is>
          <t>SKÖVDE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46182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26618-2025</t>
        </is>
      </c>
      <c r="B75" s="1" t="n">
        <v>45810.30840277778</v>
      </c>
      <c r="C75" s="1" t="n">
        <v>46182</v>
      </c>
      <c r="D75" t="inlineStr">
        <is>
          <t>VÄSTRA GÖTALANDS LÄN</t>
        </is>
      </c>
      <c r="E75" t="inlineStr">
        <is>
          <t>SKÖVDE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26620-2025</t>
        </is>
      </c>
      <c r="B76" s="1" t="n">
        <v>45810.31511574074</v>
      </c>
      <c r="C76" s="1" t="n">
        <v>46182</v>
      </c>
      <c r="D76" t="inlineStr">
        <is>
          <t>VÄSTRA GÖTALANDS LÄN</t>
        </is>
      </c>
      <c r="E76" t="inlineStr">
        <is>
          <t>SKÖVDE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44867-2022</t>
        </is>
      </c>
      <c r="B77" s="1" t="n">
        <v>44840</v>
      </c>
      <c r="C77" s="1" t="n">
        <v>46182</v>
      </c>
      <c r="D77" t="inlineStr">
        <is>
          <t>VÄSTRA GÖTALANDS LÄN</t>
        </is>
      </c>
      <c r="E77" t="inlineStr">
        <is>
          <t>SKÖVDE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26614-2025</t>
        </is>
      </c>
      <c r="B78" s="1" t="n">
        <v>45810.30189814815</v>
      </c>
      <c r="C78" s="1" t="n">
        <v>46182</v>
      </c>
      <c r="D78" t="inlineStr">
        <is>
          <t>VÄSTRA GÖTALANDS LÄN</t>
        </is>
      </c>
      <c r="E78" t="inlineStr">
        <is>
          <t>SKÖVDE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62272-2023</t>
        </is>
      </c>
      <c r="B79" s="1" t="n">
        <v>45267.63773148148</v>
      </c>
      <c r="C79" s="1" t="n">
        <v>46182</v>
      </c>
      <c r="D79" t="inlineStr">
        <is>
          <t>VÄSTRA GÖTALANDS LÄN</t>
        </is>
      </c>
      <c r="E79" t="inlineStr">
        <is>
          <t>SKÖVDE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46401-2023</t>
        </is>
      </c>
      <c r="B80" s="1" t="n">
        <v>45197.49450231482</v>
      </c>
      <c r="C80" s="1" t="n">
        <v>46182</v>
      </c>
      <c r="D80" t="inlineStr">
        <is>
          <t>VÄSTRA GÖTALANDS LÄN</t>
        </is>
      </c>
      <c r="E80" t="inlineStr">
        <is>
          <t>SKÖVDE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17326-2025</t>
        </is>
      </c>
      <c r="B81" s="1" t="n">
        <v>45756</v>
      </c>
      <c r="C81" s="1" t="n">
        <v>46182</v>
      </c>
      <c r="D81" t="inlineStr">
        <is>
          <t>VÄSTRA GÖTALANDS LÄN</t>
        </is>
      </c>
      <c r="E81" t="inlineStr">
        <is>
          <t>SKÖVDE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23447-2023</t>
        </is>
      </c>
      <c r="B82" s="1" t="n">
        <v>45076.59756944444</v>
      </c>
      <c r="C82" s="1" t="n">
        <v>46182</v>
      </c>
      <c r="D82" t="inlineStr">
        <is>
          <t>VÄSTRA GÖTALANDS LÄN</t>
        </is>
      </c>
      <c r="E82" t="inlineStr">
        <is>
          <t>SKÖVDE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48575-2024</t>
        </is>
      </c>
      <c r="B83" s="1" t="n">
        <v>45593.41140046297</v>
      </c>
      <c r="C83" s="1" t="n">
        <v>46182</v>
      </c>
      <c r="D83" t="inlineStr">
        <is>
          <t>VÄSTRA GÖTALANDS LÄN</t>
        </is>
      </c>
      <c r="E83" t="inlineStr">
        <is>
          <t>SKÖVDE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38499-2025</t>
        </is>
      </c>
      <c r="B84" s="1" t="n">
        <v>45884.37276620371</v>
      </c>
      <c r="C84" s="1" t="n">
        <v>46182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Kyrkan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35199-2025</t>
        </is>
      </c>
      <c r="B85" s="1" t="n">
        <v>45853</v>
      </c>
      <c r="C85" s="1" t="n">
        <v>46182</v>
      </c>
      <c r="D85" t="inlineStr">
        <is>
          <t>VÄSTRA GÖTALANDS LÄN</t>
        </is>
      </c>
      <c r="E85" t="inlineStr">
        <is>
          <t>SKÖVDE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13802-2024</t>
        </is>
      </c>
      <c r="B86" s="1" t="n">
        <v>45391</v>
      </c>
      <c r="C86" s="1" t="n">
        <v>46182</v>
      </c>
      <c r="D86" t="inlineStr">
        <is>
          <t>VÄSTRA GÖTALANDS LÄN</t>
        </is>
      </c>
      <c r="E86" t="inlineStr">
        <is>
          <t>SKÖVDE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14624-2025</t>
        </is>
      </c>
      <c r="B87" s="1" t="n">
        <v>45742.41969907407</v>
      </c>
      <c r="C87" s="1" t="n">
        <v>46182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29012-2025</t>
        </is>
      </c>
      <c r="B88" s="1" t="n">
        <v>45821.40665509259</v>
      </c>
      <c r="C88" s="1" t="n">
        <v>46182</v>
      </c>
      <c r="D88" t="inlineStr">
        <is>
          <t>VÄSTRA GÖTALANDS LÄN</t>
        </is>
      </c>
      <c r="E88" t="inlineStr">
        <is>
          <t>SKÖVDE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39073-2025</t>
        </is>
      </c>
      <c r="B89" s="1" t="n">
        <v>45888</v>
      </c>
      <c r="C89" s="1" t="n">
        <v>46182</v>
      </c>
      <c r="D89" t="inlineStr">
        <is>
          <t>VÄSTRA GÖTALANDS LÄN</t>
        </is>
      </c>
      <c r="E89" t="inlineStr">
        <is>
          <t>SKÖVDE</t>
        </is>
      </c>
      <c r="F89" t="inlineStr">
        <is>
          <t>Kyrkan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39238-2025</t>
        </is>
      </c>
      <c r="B90" s="1" t="n">
        <v>45889.33467592593</v>
      </c>
      <c r="C90" s="1" t="n">
        <v>46182</v>
      </c>
      <c r="D90" t="inlineStr">
        <is>
          <t>VÄSTRA GÖTALANDS LÄN</t>
        </is>
      </c>
      <c r="E90" t="inlineStr">
        <is>
          <t>SKÖVDE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39243-2025</t>
        </is>
      </c>
      <c r="B91" s="1" t="n">
        <v>45889.34508101852</v>
      </c>
      <c r="C91" s="1" t="n">
        <v>46182</v>
      </c>
      <c r="D91" t="inlineStr">
        <is>
          <t>VÄSTRA GÖTALANDS LÄN</t>
        </is>
      </c>
      <c r="E91" t="inlineStr">
        <is>
          <t>SKÖVDE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29023-2025</t>
        </is>
      </c>
      <c r="B92" s="1" t="n">
        <v>45821.43002314815</v>
      </c>
      <c r="C92" s="1" t="n">
        <v>46182</v>
      </c>
      <c r="D92" t="inlineStr">
        <is>
          <t>VÄSTRA GÖTALANDS LÄN</t>
        </is>
      </c>
      <c r="E92" t="inlineStr">
        <is>
          <t>SKÖVDE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20600-2025</t>
        </is>
      </c>
      <c r="B93" s="1" t="n">
        <v>45775.79165509259</v>
      </c>
      <c r="C93" s="1" t="n">
        <v>46182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5995-2022</t>
        </is>
      </c>
      <c r="B94" s="1" t="n">
        <v>44599.43216435185</v>
      </c>
      <c r="C94" s="1" t="n">
        <v>46182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29341-2025</t>
        </is>
      </c>
      <c r="B95" s="1" t="n">
        <v>45824.5056712963</v>
      </c>
      <c r="C95" s="1" t="n">
        <v>46182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3946-2024</t>
        </is>
      </c>
      <c r="B96" s="1" t="n">
        <v>45322.65063657407</v>
      </c>
      <c r="C96" s="1" t="n">
        <v>46182</v>
      </c>
      <c r="D96" t="inlineStr">
        <is>
          <t>VÄSTRA GÖTALANDS LÄN</t>
        </is>
      </c>
      <c r="E96" t="inlineStr">
        <is>
          <t>SKÖVDE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29017-2025</t>
        </is>
      </c>
      <c r="B97" s="1" t="n">
        <v>45821.41775462963</v>
      </c>
      <c r="C97" s="1" t="n">
        <v>46182</v>
      </c>
      <c r="D97" t="inlineStr">
        <is>
          <t>VÄSTRA GÖTALANDS LÄN</t>
        </is>
      </c>
      <c r="E97" t="inlineStr">
        <is>
          <t>SKÖVDE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58456-2024</t>
        </is>
      </c>
      <c r="B98" s="1" t="n">
        <v>45635.36013888889</v>
      </c>
      <c r="C98" s="1" t="n">
        <v>46182</v>
      </c>
      <c r="D98" t="inlineStr">
        <is>
          <t>VÄSTRA GÖTALANDS LÄN</t>
        </is>
      </c>
      <c r="E98" t="inlineStr">
        <is>
          <t>SKÖVDE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29335-2025</t>
        </is>
      </c>
      <c r="B99" s="1" t="n">
        <v>45824.49121527778</v>
      </c>
      <c r="C99" s="1" t="n">
        <v>46182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29015-2025</t>
        </is>
      </c>
      <c r="B100" s="1" t="n">
        <v>45821.41212962963</v>
      </c>
      <c r="C100" s="1" t="n">
        <v>46182</v>
      </c>
      <c r="D100" t="inlineStr">
        <is>
          <t>VÄSTRA GÖTALANDS LÄN</t>
        </is>
      </c>
      <c r="E100" t="inlineStr">
        <is>
          <t>SKÖVDE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30150-2025</t>
        </is>
      </c>
      <c r="B101" s="1" t="n">
        <v>45827.31333333333</v>
      </c>
      <c r="C101" s="1" t="n">
        <v>46182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29217-2022</t>
        </is>
      </c>
      <c r="B102" s="1" t="n">
        <v>44750.58076388889</v>
      </c>
      <c r="C102" s="1" t="n">
        <v>46182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8557-2025</t>
        </is>
      </c>
      <c r="B103" s="1" t="n">
        <v>45709</v>
      </c>
      <c r="C103" s="1" t="n">
        <v>46182</v>
      </c>
      <c r="D103" t="inlineStr">
        <is>
          <t>VÄSTRA GÖTALANDS LÄN</t>
        </is>
      </c>
      <c r="E103" t="inlineStr">
        <is>
          <t>SKÖVDE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15417-2023</t>
        </is>
      </c>
      <c r="B104" s="1" t="n">
        <v>45019</v>
      </c>
      <c r="C104" s="1" t="n">
        <v>46182</v>
      </c>
      <c r="D104" t="inlineStr">
        <is>
          <t>VÄSTRA GÖTALANDS LÄN</t>
        </is>
      </c>
      <c r="E104" t="inlineStr">
        <is>
          <t>SKÖVDE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12162-2022</t>
        </is>
      </c>
      <c r="B105" s="1" t="n">
        <v>44636</v>
      </c>
      <c r="C105" s="1" t="n">
        <v>46182</v>
      </c>
      <c r="D105" t="inlineStr">
        <is>
          <t>VÄSTRA GÖTALANDS LÄN</t>
        </is>
      </c>
      <c r="E105" t="inlineStr">
        <is>
          <t>SKÖVDE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51886-2021</t>
        </is>
      </c>
      <c r="B106" s="1" t="n">
        <v>44462.82854166667</v>
      </c>
      <c r="C106" s="1" t="n">
        <v>46182</v>
      </c>
      <c r="D106" t="inlineStr">
        <is>
          <t>VÄSTRA GÖTALANDS LÄN</t>
        </is>
      </c>
      <c r="E106" t="inlineStr">
        <is>
          <t>SKÖVDE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29248-2023</t>
        </is>
      </c>
      <c r="B107" s="1" t="n">
        <v>45105.63884259259</v>
      </c>
      <c r="C107" s="1" t="n">
        <v>46182</v>
      </c>
      <c r="D107" t="inlineStr">
        <is>
          <t>VÄSTRA GÖTALANDS LÄN</t>
        </is>
      </c>
      <c r="E107" t="inlineStr">
        <is>
          <t>SKÖVDE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37204-2024</t>
        </is>
      </c>
      <c r="B108" s="1" t="n">
        <v>45539.67663194444</v>
      </c>
      <c r="C108" s="1" t="n">
        <v>46182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35919-2023</t>
        </is>
      </c>
      <c r="B109" s="1" t="n">
        <v>45148.64981481482</v>
      </c>
      <c r="C109" s="1" t="n">
        <v>46182</v>
      </c>
      <c r="D109" t="inlineStr">
        <is>
          <t>VÄSTRA GÖTALANDS LÄN</t>
        </is>
      </c>
      <c r="E109" t="inlineStr">
        <is>
          <t>SKÖVDE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15952-2025</t>
        </is>
      </c>
      <c r="B110" s="1" t="n">
        <v>45749.50174768519</v>
      </c>
      <c r="C110" s="1" t="n">
        <v>46182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2708-2024</t>
        </is>
      </c>
      <c r="B111" s="1" t="n">
        <v>45314</v>
      </c>
      <c r="C111" s="1" t="n">
        <v>46182</v>
      </c>
      <c r="D111" t="inlineStr">
        <is>
          <t>VÄSTRA GÖTALANDS LÄN</t>
        </is>
      </c>
      <c r="E111" t="inlineStr">
        <is>
          <t>SKÖVDE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10560-2025</t>
        </is>
      </c>
      <c r="B112" s="1" t="n">
        <v>45721.5255787037</v>
      </c>
      <c r="C112" s="1" t="n">
        <v>46182</v>
      </c>
      <c r="D112" t="inlineStr">
        <is>
          <t>VÄSTRA GÖTALANDS LÄN</t>
        </is>
      </c>
      <c r="E112" t="inlineStr">
        <is>
          <t>SKÖVDE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58929-2022</t>
        </is>
      </c>
      <c r="B113" s="1" t="n">
        <v>44903</v>
      </c>
      <c r="C113" s="1" t="n">
        <v>46182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33053-2025</t>
        </is>
      </c>
      <c r="B114" s="1" t="n">
        <v>45840.42666666667</v>
      </c>
      <c r="C114" s="1" t="n">
        <v>46182</v>
      </c>
      <c r="D114" t="inlineStr">
        <is>
          <t>VÄSTRA GÖTALANDS LÄN</t>
        </is>
      </c>
      <c r="E114" t="inlineStr">
        <is>
          <t>SKÖVDE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6598-2022</t>
        </is>
      </c>
      <c r="B115" s="1" t="n">
        <v>44601</v>
      </c>
      <c r="C115" s="1" t="n">
        <v>46182</v>
      </c>
      <c r="D115" t="inlineStr">
        <is>
          <t>VÄSTRA GÖTALANDS LÄN</t>
        </is>
      </c>
      <c r="E115" t="inlineStr">
        <is>
          <t>SKÖVDE</t>
        </is>
      </c>
      <c r="F115" t="inlineStr">
        <is>
          <t>Kommuner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33861-2025</t>
        </is>
      </c>
      <c r="B116" s="1" t="n">
        <v>45842.52964120371</v>
      </c>
      <c r="C116" s="1" t="n">
        <v>46182</v>
      </c>
      <c r="D116" t="inlineStr">
        <is>
          <t>VÄSTRA GÖTALANDS LÄN</t>
        </is>
      </c>
      <c r="E116" t="inlineStr">
        <is>
          <t>SKÖVDE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53740-2023</t>
        </is>
      </c>
      <c r="B117" s="1" t="n">
        <v>45230</v>
      </c>
      <c r="C117" s="1" t="n">
        <v>46182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34410-2025</t>
        </is>
      </c>
      <c r="B118" s="1" t="n">
        <v>45846.64479166667</v>
      </c>
      <c r="C118" s="1" t="n">
        <v>46182</v>
      </c>
      <c r="D118" t="inlineStr">
        <is>
          <t>VÄSTRA GÖTALANDS LÄN</t>
        </is>
      </c>
      <c r="E118" t="inlineStr">
        <is>
          <t>SKÖVDE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34414-2025</t>
        </is>
      </c>
      <c r="B119" s="1" t="n">
        <v>45846</v>
      </c>
      <c r="C119" s="1" t="n">
        <v>46182</v>
      </c>
      <c r="D119" t="inlineStr">
        <is>
          <t>VÄSTRA GÖTALANDS LÄN</t>
        </is>
      </c>
      <c r="E119" t="inlineStr">
        <is>
          <t>SKÖVDE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34412-2025</t>
        </is>
      </c>
      <c r="B120" s="1" t="n">
        <v>45846.64696759259</v>
      </c>
      <c r="C120" s="1" t="n">
        <v>46182</v>
      </c>
      <c r="D120" t="inlineStr">
        <is>
          <t>VÄSTRA GÖTALANDS LÄN</t>
        </is>
      </c>
      <c r="E120" t="inlineStr">
        <is>
          <t>SKÖVDE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60587-2023</t>
        </is>
      </c>
      <c r="B121" s="1" t="n">
        <v>45259</v>
      </c>
      <c r="C121" s="1" t="n">
        <v>46182</v>
      </c>
      <c r="D121" t="inlineStr">
        <is>
          <t>VÄSTRA GÖTALANDS LÄN</t>
        </is>
      </c>
      <c r="E121" t="inlineStr">
        <is>
          <t>SKÖVDE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19372-2025</t>
        </is>
      </c>
      <c r="B122" s="1" t="n">
        <v>45769.64199074074</v>
      </c>
      <c r="C122" s="1" t="n">
        <v>46182</v>
      </c>
      <c r="D122" t="inlineStr">
        <is>
          <t>VÄSTRA GÖTALANDS LÄN</t>
        </is>
      </c>
      <c r="E122" t="inlineStr">
        <is>
          <t>SKÖVDE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26737-2023</t>
        </is>
      </c>
      <c r="B123" s="1" t="n">
        <v>45093.42945601852</v>
      </c>
      <c r="C123" s="1" t="n">
        <v>46182</v>
      </c>
      <c r="D123" t="inlineStr">
        <is>
          <t>VÄSTRA GÖTALANDS LÄN</t>
        </is>
      </c>
      <c r="E123" t="inlineStr">
        <is>
          <t>SKÖVDE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46182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46182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1780-2023</t>
        </is>
      </c>
      <c r="B126" s="1" t="n">
        <v>44938.598125</v>
      </c>
      <c r="C126" s="1" t="n">
        <v>46182</v>
      </c>
      <c r="D126" t="inlineStr">
        <is>
          <t>VÄSTRA GÖTALANDS LÄN</t>
        </is>
      </c>
      <c r="E126" t="inlineStr">
        <is>
          <t>SKÖVDE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49954-2023</t>
        </is>
      </c>
      <c r="B127" s="1" t="n">
        <v>45215.37692129629</v>
      </c>
      <c r="C127" s="1" t="n">
        <v>46182</v>
      </c>
      <c r="D127" t="inlineStr">
        <is>
          <t>VÄSTRA GÖTALANDS LÄN</t>
        </is>
      </c>
      <c r="E127" t="inlineStr">
        <is>
          <t>SKÖVDE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38264-2023</t>
        </is>
      </c>
      <c r="B128" s="1" t="n">
        <v>45161</v>
      </c>
      <c r="C128" s="1" t="n">
        <v>46182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46923-2025</t>
        </is>
      </c>
      <c r="B129" s="1" t="n">
        <v>45929.43701388889</v>
      </c>
      <c r="C129" s="1" t="n">
        <v>46182</v>
      </c>
      <c r="D129" t="inlineStr">
        <is>
          <t>VÄSTRA GÖTALANDS LÄN</t>
        </is>
      </c>
      <c r="E129" t="inlineStr">
        <is>
          <t>SKÖVDE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40205-2022</t>
        </is>
      </c>
      <c r="B130" s="1" t="n">
        <v>44820</v>
      </c>
      <c r="C130" s="1" t="n">
        <v>46182</v>
      </c>
      <c r="D130" t="inlineStr">
        <is>
          <t>VÄSTRA GÖTALANDS LÄN</t>
        </is>
      </c>
      <c r="E130" t="inlineStr">
        <is>
          <t>SKÖVDE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6419-2025</t>
        </is>
      </c>
      <c r="B131" s="1" t="n">
        <v>45699.47835648148</v>
      </c>
      <c r="C131" s="1" t="n">
        <v>46182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20912-2024</t>
        </is>
      </c>
      <c r="B132" s="1" t="n">
        <v>45439.49229166667</v>
      </c>
      <c r="C132" s="1" t="n">
        <v>46182</v>
      </c>
      <c r="D132" t="inlineStr">
        <is>
          <t>VÄSTRA GÖTALANDS LÄN</t>
        </is>
      </c>
      <c r="E132" t="inlineStr">
        <is>
          <t>SKÖVDE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565-2024</t>
        </is>
      </c>
      <c r="B133" s="1" t="n">
        <v>45299</v>
      </c>
      <c r="C133" s="1" t="n">
        <v>46182</v>
      </c>
      <c r="D133" t="inlineStr">
        <is>
          <t>VÄSTRA GÖTALANDS LÄN</t>
        </is>
      </c>
      <c r="E133" t="inlineStr">
        <is>
          <t>SKÖVDE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42579-2025</t>
        </is>
      </c>
      <c r="B134" s="1" t="n">
        <v>45905</v>
      </c>
      <c r="C134" s="1" t="n">
        <v>46182</v>
      </c>
      <c r="D134" t="inlineStr">
        <is>
          <t>VÄSTRA GÖTALANDS LÄN</t>
        </is>
      </c>
      <c r="E134" t="inlineStr">
        <is>
          <t>SKÖVDE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67134-2021</t>
        </is>
      </c>
      <c r="B135" s="1" t="n">
        <v>44523.37474537037</v>
      </c>
      <c r="C135" s="1" t="n">
        <v>46182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47869-2025</t>
        </is>
      </c>
      <c r="B136" s="1" t="n">
        <v>45932.44273148148</v>
      </c>
      <c r="C136" s="1" t="n">
        <v>46182</v>
      </c>
      <c r="D136" t="inlineStr">
        <is>
          <t>VÄSTRA GÖTALANDS LÄN</t>
        </is>
      </c>
      <c r="E136" t="inlineStr">
        <is>
          <t>SKÖVDE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47892-2025</t>
        </is>
      </c>
      <c r="B137" s="1" t="n">
        <v>45932.47384259259</v>
      </c>
      <c r="C137" s="1" t="n">
        <v>46182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12942-2024</t>
        </is>
      </c>
      <c r="B138" s="1" t="n">
        <v>45385.46519675926</v>
      </c>
      <c r="C138" s="1" t="n">
        <v>46182</v>
      </c>
      <c r="D138" t="inlineStr">
        <is>
          <t>VÄSTRA GÖTALANDS LÄN</t>
        </is>
      </c>
      <c r="E138" t="inlineStr">
        <is>
          <t>SKÖVDE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40374-2023</t>
        </is>
      </c>
      <c r="B139" s="1" t="n">
        <v>45169.74189814815</v>
      </c>
      <c r="C139" s="1" t="n">
        <v>46182</v>
      </c>
      <c r="D139" t="inlineStr">
        <is>
          <t>VÄSTRA GÖTALANDS LÄN</t>
        </is>
      </c>
      <c r="E139" t="inlineStr">
        <is>
          <t>SKÖVDE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63751-2025</t>
        </is>
      </c>
      <c r="B140" s="1" t="n">
        <v>46017.75608796296</v>
      </c>
      <c r="C140" s="1" t="n">
        <v>46182</v>
      </c>
      <c r="D140" t="inlineStr">
        <is>
          <t>VÄSTRA GÖTALANDS LÄN</t>
        </is>
      </c>
      <c r="E140" t="inlineStr">
        <is>
          <t>SKÖVDE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26733-2023</t>
        </is>
      </c>
      <c r="B141" s="1" t="n">
        <v>45093.41903935185</v>
      </c>
      <c r="C141" s="1" t="n">
        <v>46182</v>
      </c>
      <c r="D141" t="inlineStr">
        <is>
          <t>VÄSTRA GÖTALANDS LÄN</t>
        </is>
      </c>
      <c r="E141" t="inlineStr">
        <is>
          <t>SKÖVDE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48890-2025</t>
        </is>
      </c>
      <c r="B142" s="1" t="n">
        <v>45937.46953703704</v>
      </c>
      <c r="C142" s="1" t="n">
        <v>46182</v>
      </c>
      <c r="D142" t="inlineStr">
        <is>
          <t>VÄSTRA GÖTALANDS LÄN</t>
        </is>
      </c>
      <c r="E142" t="inlineStr">
        <is>
          <t>SKÖVDE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48225-2024</t>
        </is>
      </c>
      <c r="B143" s="1" t="n">
        <v>45590.36800925926</v>
      </c>
      <c r="C143" s="1" t="n">
        <v>46182</v>
      </c>
      <c r="D143" t="inlineStr">
        <is>
          <t>VÄSTRA GÖTALANDS LÄN</t>
        </is>
      </c>
      <c r="E143" t="inlineStr">
        <is>
          <t>SKÖVDE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40105-2021</t>
        </is>
      </c>
      <c r="B144" s="1" t="n">
        <v>44418</v>
      </c>
      <c r="C144" s="1" t="n">
        <v>46182</v>
      </c>
      <c r="D144" t="inlineStr">
        <is>
          <t>VÄSTRA GÖTALANDS LÄN</t>
        </is>
      </c>
      <c r="E144" t="inlineStr">
        <is>
          <t>SKÖVDE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47490-2024</t>
        </is>
      </c>
      <c r="B145" s="1" t="n">
        <v>45586</v>
      </c>
      <c r="C145" s="1" t="n">
        <v>46182</v>
      </c>
      <c r="D145" t="inlineStr">
        <is>
          <t>VÄSTRA GÖTALANDS LÄN</t>
        </is>
      </c>
      <c r="E145" t="inlineStr">
        <is>
          <t>SKÖVDE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24476-2023</t>
        </is>
      </c>
      <c r="B146" s="1" t="n">
        <v>45082</v>
      </c>
      <c r="C146" s="1" t="n">
        <v>46182</v>
      </c>
      <c r="D146" t="inlineStr">
        <is>
          <t>VÄSTRA GÖTALANDS LÄN</t>
        </is>
      </c>
      <c r="E146" t="inlineStr">
        <is>
          <t>SKÖVDE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4600-2025</t>
        </is>
      </c>
      <c r="B147" s="1" t="n">
        <v>45687</v>
      </c>
      <c r="C147" s="1" t="n">
        <v>46182</v>
      </c>
      <c r="D147" t="inlineStr">
        <is>
          <t>VÄSTRA GÖTALANDS LÄN</t>
        </is>
      </c>
      <c r="E147" t="inlineStr">
        <is>
          <t>SKÖVDE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1844-2026</t>
        </is>
      </c>
      <c r="B148" s="1" t="n">
        <v>46035.40652777778</v>
      </c>
      <c r="C148" s="1" t="n">
        <v>46182</v>
      </c>
      <c r="D148" t="inlineStr">
        <is>
          <t>VÄSTRA GÖTALANDS LÄN</t>
        </is>
      </c>
      <c r="E148" t="inlineStr">
        <is>
          <t>SKÖVDE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29011-2023</t>
        </is>
      </c>
      <c r="B149" s="1" t="n">
        <v>45104</v>
      </c>
      <c r="C149" s="1" t="n">
        <v>46182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34211-2023</t>
        </is>
      </c>
      <c r="B150" s="1" t="n">
        <v>45138</v>
      </c>
      <c r="C150" s="1" t="n">
        <v>46182</v>
      </c>
      <c r="D150" t="inlineStr">
        <is>
          <t>VÄSTRA GÖTALANDS LÄN</t>
        </is>
      </c>
      <c r="E150" t="inlineStr">
        <is>
          <t>SKÖVDE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2259-2026</t>
        </is>
      </c>
      <c r="B151" s="1" t="n">
        <v>46036</v>
      </c>
      <c r="C151" s="1" t="n">
        <v>46182</v>
      </c>
      <c r="D151" t="inlineStr">
        <is>
          <t>VÄSTRA GÖTALANDS LÄN</t>
        </is>
      </c>
      <c r="E151" t="inlineStr">
        <is>
          <t>SKÖVDE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51217-2025</t>
        </is>
      </c>
      <c r="B152" s="1" t="n">
        <v>45947.64515046297</v>
      </c>
      <c r="C152" s="1" t="n">
        <v>46182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51155-2025</t>
        </is>
      </c>
      <c r="B153" s="1" t="n">
        <v>45947</v>
      </c>
      <c r="C153" s="1" t="n">
        <v>46182</v>
      </c>
      <c r="D153" t="inlineStr">
        <is>
          <t>VÄSTRA GÖTALANDS LÄN</t>
        </is>
      </c>
      <c r="E153" t="inlineStr">
        <is>
          <t>SKÖVDE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51193-2025</t>
        </is>
      </c>
      <c r="B154" s="1" t="n">
        <v>45947</v>
      </c>
      <c r="C154" s="1" t="n">
        <v>46182</v>
      </c>
      <c r="D154" t="inlineStr">
        <is>
          <t>VÄSTRA GÖTALANDS LÄN</t>
        </is>
      </c>
      <c r="E154" t="inlineStr">
        <is>
          <t>SKÖVDE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52172-2025</t>
        </is>
      </c>
      <c r="B155" s="1" t="n">
        <v>45953.37298611111</v>
      </c>
      <c r="C155" s="1" t="n">
        <v>46182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34528-2023</t>
        </is>
      </c>
      <c r="B156" s="1" t="n">
        <v>45134</v>
      </c>
      <c r="C156" s="1" t="n">
        <v>46182</v>
      </c>
      <c r="D156" t="inlineStr">
        <is>
          <t>VÄSTRA GÖTALANDS LÄN</t>
        </is>
      </c>
      <c r="E156" t="inlineStr">
        <is>
          <t>SKÖVDE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62271-2023</t>
        </is>
      </c>
      <c r="B157" s="1" t="n">
        <v>45267.6362037037</v>
      </c>
      <c r="C157" s="1" t="n">
        <v>46182</v>
      </c>
      <c r="D157" t="inlineStr">
        <is>
          <t>VÄSTRA GÖTALANDS LÄN</t>
        </is>
      </c>
      <c r="E157" t="inlineStr">
        <is>
          <t>SKÖVDE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50829-2022</t>
        </is>
      </c>
      <c r="B158" s="1" t="n">
        <v>44862</v>
      </c>
      <c r="C158" s="1" t="n">
        <v>46182</v>
      </c>
      <c r="D158" t="inlineStr">
        <is>
          <t>VÄSTRA GÖTALANDS LÄN</t>
        </is>
      </c>
      <c r="E158" t="inlineStr">
        <is>
          <t>SKÖVDE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2901-2026</t>
        </is>
      </c>
      <c r="B159" s="1" t="n">
        <v>46038</v>
      </c>
      <c r="C159" s="1" t="n">
        <v>46182</v>
      </c>
      <c r="D159" t="inlineStr">
        <is>
          <t>VÄSTRA GÖTALANDS LÄN</t>
        </is>
      </c>
      <c r="E159" t="inlineStr">
        <is>
          <t>SKÖVDE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53153-2025</t>
        </is>
      </c>
      <c r="B160" s="1" t="n">
        <v>45958.48887731481</v>
      </c>
      <c r="C160" s="1" t="n">
        <v>46182</v>
      </c>
      <c r="D160" t="inlineStr">
        <is>
          <t>VÄSTRA GÖTALANDS LÄN</t>
        </is>
      </c>
      <c r="E160" t="inlineStr">
        <is>
          <t>SKÖVDE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48336-2024</t>
        </is>
      </c>
      <c r="B161" s="1" t="n">
        <v>45590.54072916666</v>
      </c>
      <c r="C161" s="1" t="n">
        <v>46182</v>
      </c>
      <c r="D161" t="inlineStr">
        <is>
          <t>VÄSTRA GÖTALANDS LÄN</t>
        </is>
      </c>
      <c r="E161" t="inlineStr">
        <is>
          <t>SKÖVDE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17798-2024</t>
        </is>
      </c>
      <c r="B162" s="1" t="n">
        <v>45418</v>
      </c>
      <c r="C162" s="1" t="n">
        <v>46182</v>
      </c>
      <c r="D162" t="inlineStr">
        <is>
          <t>VÄSTRA GÖTALANDS LÄN</t>
        </is>
      </c>
      <c r="E162" t="inlineStr">
        <is>
          <t>SKÖVDE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5785-2026</t>
        </is>
      </c>
      <c r="B163" s="1" t="n">
        <v>46051.66454861111</v>
      </c>
      <c r="C163" s="1" t="n">
        <v>46182</v>
      </c>
      <c r="D163" t="inlineStr">
        <is>
          <t>VÄSTRA GÖTALANDS LÄN</t>
        </is>
      </c>
      <c r="E163" t="inlineStr">
        <is>
          <t>SKÖVDE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6092-2026</t>
        </is>
      </c>
      <c r="B164" s="1" t="n">
        <v>46052</v>
      </c>
      <c r="C164" s="1" t="n">
        <v>46182</v>
      </c>
      <c r="D164" t="inlineStr">
        <is>
          <t>VÄSTRA GÖTALANDS LÄN</t>
        </is>
      </c>
      <c r="E164" t="inlineStr">
        <is>
          <t>SKÖVDE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60588-2023</t>
        </is>
      </c>
      <c r="B165" s="1" t="n">
        <v>45259</v>
      </c>
      <c r="C165" s="1" t="n">
        <v>46182</v>
      </c>
      <c r="D165" t="inlineStr">
        <is>
          <t>VÄSTRA GÖTALANDS LÄN</t>
        </is>
      </c>
      <c r="E165" t="inlineStr">
        <is>
          <t>SKÖVDE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48983-2024</t>
        </is>
      </c>
      <c r="B166" s="1" t="n">
        <v>45594.46991898148</v>
      </c>
      <c r="C166" s="1" t="n">
        <v>46182</v>
      </c>
      <c r="D166" t="inlineStr">
        <is>
          <t>VÄSTRA GÖTALANDS LÄN</t>
        </is>
      </c>
      <c r="E166" t="inlineStr">
        <is>
          <t>SKÖVDE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55642-2025</t>
        </is>
      </c>
      <c r="B167" s="1" t="n">
        <v>45972.3575462963</v>
      </c>
      <c r="C167" s="1" t="n">
        <v>46182</v>
      </c>
      <c r="D167" t="inlineStr">
        <is>
          <t>VÄSTRA GÖTALANDS LÄN</t>
        </is>
      </c>
      <c r="E167" t="inlineStr">
        <is>
          <t>SKÖVDE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952-2024</t>
        </is>
      </c>
      <c r="B168" s="1" t="n">
        <v>45301</v>
      </c>
      <c r="C168" s="1" t="n">
        <v>46182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59893-2025</t>
        </is>
      </c>
      <c r="B169" s="1" t="n">
        <v>45992</v>
      </c>
      <c r="C169" s="1" t="n">
        <v>46182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63730-2025</t>
        </is>
      </c>
      <c r="B170" s="1" t="n">
        <v>46010</v>
      </c>
      <c r="C170" s="1" t="n">
        <v>46182</v>
      </c>
      <c r="D170" t="inlineStr">
        <is>
          <t>VÄSTRA GÖTALANDS LÄN</t>
        </is>
      </c>
      <c r="E170" t="inlineStr">
        <is>
          <t>SKÖVDE</t>
        </is>
      </c>
      <c r="F170" t="inlineStr">
        <is>
          <t>Övriga statliga verk och myndigheter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7746-2026</t>
        </is>
      </c>
      <c r="B171" s="1" t="n">
        <v>46062.54372685185</v>
      </c>
      <c r="C171" s="1" t="n">
        <v>46182</v>
      </c>
      <c r="D171" t="inlineStr">
        <is>
          <t>VÄSTRA GÖTALANDS LÄN</t>
        </is>
      </c>
      <c r="E171" t="inlineStr">
        <is>
          <t>SKÖVDE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62290-2023</t>
        </is>
      </c>
      <c r="B172" s="1" t="n">
        <v>45267.659375</v>
      </c>
      <c r="C172" s="1" t="n">
        <v>46182</v>
      </c>
      <c r="D172" t="inlineStr">
        <is>
          <t>VÄSTRA GÖTALANDS LÄN</t>
        </is>
      </c>
      <c r="E172" t="inlineStr">
        <is>
          <t>SKÖVDE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63729-2025</t>
        </is>
      </c>
      <c r="B173" s="1" t="n">
        <v>46010</v>
      </c>
      <c r="C173" s="1" t="n">
        <v>46182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Övriga statliga verk och myndigheter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63374-2025</t>
        </is>
      </c>
      <c r="B174" s="1" t="n">
        <v>46009</v>
      </c>
      <c r="C174" s="1" t="n">
        <v>46182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Övriga statliga verk och myndigheter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13800-2024</t>
        </is>
      </c>
      <c r="B175" s="1" t="n">
        <v>45391</v>
      </c>
      <c r="C175" s="1" t="n">
        <v>46182</v>
      </c>
      <c r="D175" t="inlineStr">
        <is>
          <t>VÄSTRA GÖTALANDS LÄN</t>
        </is>
      </c>
      <c r="E175" t="inlineStr">
        <is>
          <t>SKÖVDE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63375-2025</t>
        </is>
      </c>
      <c r="B176" s="1" t="n">
        <v>46009</v>
      </c>
      <c r="C176" s="1" t="n">
        <v>46182</v>
      </c>
      <c r="D176" t="inlineStr">
        <is>
          <t>VÄSTRA GÖTALANDS LÄN</t>
        </is>
      </c>
      <c r="E176" t="inlineStr">
        <is>
          <t>SKÖVDE</t>
        </is>
      </c>
      <c r="F176" t="inlineStr">
        <is>
          <t>Övriga statliga verk och myndigheter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7748-2026</t>
        </is>
      </c>
      <c r="B177" s="1" t="n">
        <v>46062.54561342593</v>
      </c>
      <c r="C177" s="1" t="n">
        <v>46182</v>
      </c>
      <c r="D177" t="inlineStr">
        <is>
          <t>VÄSTRA GÖTALANDS LÄN</t>
        </is>
      </c>
      <c r="E177" t="inlineStr">
        <is>
          <t>SKÖVDE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1629-2025</t>
        </is>
      </c>
      <c r="B178" s="1" t="n">
        <v>45670.6265162037</v>
      </c>
      <c r="C178" s="1" t="n">
        <v>46182</v>
      </c>
      <c r="D178" t="inlineStr">
        <is>
          <t>VÄSTRA GÖTALANDS LÄN</t>
        </is>
      </c>
      <c r="E178" t="inlineStr">
        <is>
          <t>SKÖVDE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29222-2022</t>
        </is>
      </c>
      <c r="B179" s="1" t="n">
        <v>44750</v>
      </c>
      <c r="C179" s="1" t="n">
        <v>46182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950-2024</t>
        </is>
      </c>
      <c r="B180" s="1" t="n">
        <v>45301</v>
      </c>
      <c r="C180" s="1" t="n">
        <v>46182</v>
      </c>
      <c r="D180" t="inlineStr">
        <is>
          <t>VÄSTRA GÖTALANDS LÄN</t>
        </is>
      </c>
      <c r="E180" t="inlineStr">
        <is>
          <t>SKÖVDE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38048-2022</t>
        </is>
      </c>
      <c r="B181" s="1" t="n">
        <v>44811</v>
      </c>
      <c r="C181" s="1" t="n">
        <v>46182</v>
      </c>
      <c r="D181" t="inlineStr">
        <is>
          <t>VÄSTRA GÖTALANDS LÄN</t>
        </is>
      </c>
      <c r="E181" t="inlineStr">
        <is>
          <t>SKÖVDE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59384-2025</t>
        </is>
      </c>
      <c r="B182" s="1" t="n">
        <v>45989.45657407407</v>
      </c>
      <c r="C182" s="1" t="n">
        <v>46182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59366-2025</t>
        </is>
      </c>
      <c r="B183" s="1" t="n">
        <v>45989.44545138889</v>
      </c>
      <c r="C183" s="1" t="n">
        <v>46182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62269-2023</t>
        </is>
      </c>
      <c r="B184" s="1" t="n">
        <v>45267.63450231482</v>
      </c>
      <c r="C184" s="1" t="n">
        <v>46182</v>
      </c>
      <c r="D184" t="inlineStr">
        <is>
          <t>VÄSTRA GÖTALANDS LÄN</t>
        </is>
      </c>
      <c r="E184" t="inlineStr">
        <is>
          <t>SKÖVDE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47900-2023</t>
        </is>
      </c>
      <c r="B185" s="1" t="n">
        <v>45204</v>
      </c>
      <c r="C185" s="1" t="n">
        <v>46182</v>
      </c>
      <c r="D185" t="inlineStr">
        <is>
          <t>VÄSTRA GÖTALANDS LÄN</t>
        </is>
      </c>
      <c r="E185" t="inlineStr">
        <is>
          <t>SKÖVDE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7869-2025</t>
        </is>
      </c>
      <c r="B186" s="1" t="n">
        <v>45706.69854166666</v>
      </c>
      <c r="C186" s="1" t="n">
        <v>46182</v>
      </c>
      <c r="D186" t="inlineStr">
        <is>
          <t>VÄSTRA GÖTALANDS LÄN</t>
        </is>
      </c>
      <c r="E186" t="inlineStr">
        <is>
          <t>SKÖVDE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49416-2023</t>
        </is>
      </c>
      <c r="B187" s="1" t="n">
        <v>45211.44688657407</v>
      </c>
      <c r="C187" s="1" t="n">
        <v>46182</v>
      </c>
      <c r="D187" t="inlineStr">
        <is>
          <t>VÄSTRA GÖTALANDS LÄN</t>
        </is>
      </c>
      <c r="E187" t="inlineStr">
        <is>
          <t>SKÖVDE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49300-2023</t>
        </is>
      </c>
      <c r="B188" s="1" t="n">
        <v>45210.88792824074</v>
      </c>
      <c r="C188" s="1" t="n">
        <v>46182</v>
      </c>
      <c r="D188" t="inlineStr">
        <is>
          <t>VÄSTRA GÖTALANDS LÄN</t>
        </is>
      </c>
      <c r="E188" t="inlineStr">
        <is>
          <t>SKÖVDE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3670-2022</t>
        </is>
      </c>
      <c r="B189" s="1" t="n">
        <v>44586</v>
      </c>
      <c r="C189" s="1" t="n">
        <v>46182</v>
      </c>
      <c r="D189" t="inlineStr">
        <is>
          <t>VÄSTRA GÖTALANDS LÄN</t>
        </is>
      </c>
      <c r="E189" t="inlineStr">
        <is>
          <t>SKÖVDE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13178-2023</t>
        </is>
      </c>
      <c r="B190" s="1" t="n">
        <v>45002</v>
      </c>
      <c r="C190" s="1" t="n">
        <v>46182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12719-2026</t>
        </is>
      </c>
      <c r="B191" s="1" t="n">
        <v>46091.60462962963</v>
      </c>
      <c r="C191" s="1" t="n">
        <v>46182</v>
      </c>
      <c r="D191" t="inlineStr">
        <is>
          <t>VÄSTRA GÖTALANDS LÄN</t>
        </is>
      </c>
      <c r="E191" t="inlineStr">
        <is>
          <t>SKÖVDE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61420-2025</t>
        </is>
      </c>
      <c r="B192" s="1" t="n">
        <v>46001.54215277778</v>
      </c>
      <c r="C192" s="1" t="n">
        <v>46182</v>
      </c>
      <c r="D192" t="inlineStr">
        <is>
          <t>VÄSTRA GÖTALANDS LÄN</t>
        </is>
      </c>
      <c r="E192" t="inlineStr">
        <is>
          <t>SKÖVDE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61421-2025</t>
        </is>
      </c>
      <c r="B193" s="1" t="n">
        <v>46001.54255787037</v>
      </c>
      <c r="C193" s="1" t="n">
        <v>46182</v>
      </c>
      <c r="D193" t="inlineStr">
        <is>
          <t>VÄSTRA GÖTALANDS LÄN</t>
        </is>
      </c>
      <c r="E193" t="inlineStr">
        <is>
          <t>SKÖVDE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61422-2025</t>
        </is>
      </c>
      <c r="B194" s="1" t="n">
        <v>46001.54291666667</v>
      </c>
      <c r="C194" s="1" t="n">
        <v>46182</v>
      </c>
      <c r="D194" t="inlineStr">
        <is>
          <t>VÄSTRA GÖTALANDS LÄN</t>
        </is>
      </c>
      <c r="E194" t="inlineStr">
        <is>
          <t>SKÖVDE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61130-2025</t>
        </is>
      </c>
      <c r="B195" s="1" t="n">
        <v>46000.48894675926</v>
      </c>
      <c r="C195" s="1" t="n">
        <v>46182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61699-2025</t>
        </is>
      </c>
      <c r="B196" s="1" t="n">
        <v>46002.53145833333</v>
      </c>
      <c r="C196" s="1" t="n">
        <v>46182</v>
      </c>
      <c r="D196" t="inlineStr">
        <is>
          <t>VÄSTRA GÖTALANDS LÄN</t>
        </is>
      </c>
      <c r="E196" t="inlineStr">
        <is>
          <t>SKÖVDE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61700-2025</t>
        </is>
      </c>
      <c r="B197" s="1" t="n">
        <v>46002.53287037037</v>
      </c>
      <c r="C197" s="1" t="n">
        <v>46182</v>
      </c>
      <c r="D197" t="inlineStr">
        <is>
          <t>VÄSTRA GÖTALANDS LÄN</t>
        </is>
      </c>
      <c r="E197" t="inlineStr">
        <is>
          <t>SKÖVDE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35280-2024</t>
        </is>
      </c>
      <c r="B198" s="1" t="n">
        <v>45530.63609953703</v>
      </c>
      <c r="C198" s="1" t="n">
        <v>46182</v>
      </c>
      <c r="D198" t="inlineStr">
        <is>
          <t>VÄSTRA GÖTALANDS LÄN</t>
        </is>
      </c>
      <c r="E198" t="inlineStr">
        <is>
          <t>SKÖVDE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12817-2024</t>
        </is>
      </c>
      <c r="B199" s="1" t="n">
        <v>45384</v>
      </c>
      <c r="C199" s="1" t="n">
        <v>46182</v>
      </c>
      <c r="D199" t="inlineStr">
        <is>
          <t>VÄSTRA GÖTALANDS LÄN</t>
        </is>
      </c>
      <c r="E199" t="inlineStr">
        <is>
          <t>SKÖVDE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62803-2025</t>
        </is>
      </c>
      <c r="B200" s="1" t="n">
        <v>46008</v>
      </c>
      <c r="C200" s="1" t="n">
        <v>46182</v>
      </c>
      <c r="D200" t="inlineStr">
        <is>
          <t>VÄSTRA GÖTALANDS LÄN</t>
        </is>
      </c>
      <c r="E200" t="inlineStr">
        <is>
          <t>SKÖVDE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7870-2025</t>
        </is>
      </c>
      <c r="B201" s="1" t="n">
        <v>45706</v>
      </c>
      <c r="C201" s="1" t="n">
        <v>46182</v>
      </c>
      <c r="D201" t="inlineStr">
        <is>
          <t>VÄSTRA GÖTALANDS LÄN</t>
        </is>
      </c>
      <c r="E201" t="inlineStr">
        <is>
          <t>SKÖVDE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40995-2022</t>
        </is>
      </c>
      <c r="B202" s="1" t="n">
        <v>44825.49869212963</v>
      </c>
      <c r="C202" s="1" t="n">
        <v>46182</v>
      </c>
      <c r="D202" t="inlineStr">
        <is>
          <t>VÄSTRA GÖTALANDS LÄN</t>
        </is>
      </c>
      <c r="E202" t="inlineStr">
        <is>
          <t>SKÖVDE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15388-2024</t>
        </is>
      </c>
      <c r="B203" s="1" t="n">
        <v>45401.23033564815</v>
      </c>
      <c r="C203" s="1" t="n">
        <v>46182</v>
      </c>
      <c r="D203" t="inlineStr">
        <is>
          <t>VÄSTRA GÖTALANDS LÄN</t>
        </is>
      </c>
      <c r="E203" t="inlineStr">
        <is>
          <t>SKÖVDE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48338-2024</t>
        </is>
      </c>
      <c r="B204" s="1" t="n">
        <v>45590.54170138889</v>
      </c>
      <c r="C204" s="1" t="n">
        <v>46182</v>
      </c>
      <c r="D204" t="inlineStr">
        <is>
          <t>VÄSTRA GÖTALANDS LÄN</t>
        </is>
      </c>
      <c r="E204" t="inlineStr">
        <is>
          <t>SKÖVDE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62811-2025</t>
        </is>
      </c>
      <c r="B205" s="1" t="n">
        <v>46008</v>
      </c>
      <c r="C205" s="1" t="n">
        <v>46182</v>
      </c>
      <c r="D205" t="inlineStr">
        <is>
          <t>VÄSTRA GÖTALANDS LÄN</t>
        </is>
      </c>
      <c r="E205" t="inlineStr">
        <is>
          <t>SKÖVDE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5808-2023</t>
        </is>
      </c>
      <c r="B206" s="1" t="n">
        <v>44963.48101851852</v>
      </c>
      <c r="C206" s="1" t="n">
        <v>46182</v>
      </c>
      <c r="D206" t="inlineStr">
        <is>
          <t>VÄSTRA GÖTALANDS LÄN</t>
        </is>
      </c>
      <c r="E206" t="inlineStr">
        <is>
          <t>SKÖVDE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14281-2026</t>
        </is>
      </c>
      <c r="B207" s="1" t="n">
        <v>46099</v>
      </c>
      <c r="C207" s="1" t="n">
        <v>46182</v>
      </c>
      <c r="D207" t="inlineStr">
        <is>
          <t>VÄSTRA GÖTALANDS LÄN</t>
        </is>
      </c>
      <c r="E207" t="inlineStr">
        <is>
          <t>SKÖVDE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63449-2025</t>
        </is>
      </c>
      <c r="B208" s="1" t="n">
        <v>46013.40626157408</v>
      </c>
      <c r="C208" s="1" t="n">
        <v>46182</v>
      </c>
      <c r="D208" t="inlineStr">
        <is>
          <t>VÄSTRA GÖTALANDS LÄN</t>
        </is>
      </c>
      <c r="E208" t="inlineStr">
        <is>
          <t>SKÖVDE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63453-2025</t>
        </is>
      </c>
      <c r="B209" s="1" t="n">
        <v>46013.41452546296</v>
      </c>
      <c r="C209" s="1" t="n">
        <v>46182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1784-2023</t>
        </is>
      </c>
      <c r="B210" s="1" t="n">
        <v>44938.60303240741</v>
      </c>
      <c r="C210" s="1" t="n">
        <v>46182</v>
      </c>
      <c r="D210" t="inlineStr">
        <is>
          <t>VÄSTRA GÖTALANDS LÄN</t>
        </is>
      </c>
      <c r="E210" t="inlineStr">
        <is>
          <t>SKÖVDE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34248-2023</t>
        </is>
      </c>
      <c r="B211" s="1" t="n">
        <v>45138.55064814815</v>
      </c>
      <c r="C211" s="1" t="n">
        <v>46182</v>
      </c>
      <c r="D211" t="inlineStr">
        <is>
          <t>VÄSTRA GÖTALANDS LÄN</t>
        </is>
      </c>
      <c r="E211" t="inlineStr">
        <is>
          <t>SKÖVDE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3481-2024</t>
        </is>
      </c>
      <c r="B212" s="1" t="n">
        <v>45320</v>
      </c>
      <c r="C212" s="1" t="n">
        <v>46182</v>
      </c>
      <c r="D212" t="inlineStr">
        <is>
          <t>VÄSTRA GÖTALANDS LÄN</t>
        </is>
      </c>
      <c r="E212" t="inlineStr">
        <is>
          <t>SKÖVDE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36556-2022</t>
        </is>
      </c>
      <c r="B213" s="1" t="n">
        <v>44804</v>
      </c>
      <c r="C213" s="1" t="n">
        <v>46182</v>
      </c>
      <c r="D213" t="inlineStr">
        <is>
          <t>VÄSTRA GÖTALANDS LÄN</t>
        </is>
      </c>
      <c r="E213" t="inlineStr">
        <is>
          <t>SKÖVDE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60117-2021</t>
        </is>
      </c>
      <c r="B214" s="1" t="n">
        <v>44495</v>
      </c>
      <c r="C214" s="1" t="n">
        <v>46182</v>
      </c>
      <c r="D214" t="inlineStr">
        <is>
          <t>VÄSTRA GÖTALANDS LÄN</t>
        </is>
      </c>
      <c r="E214" t="inlineStr">
        <is>
          <t>SKÖVDE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37656-2023</t>
        </is>
      </c>
      <c r="B215" s="1" t="n">
        <v>45159.51996527778</v>
      </c>
      <c r="C215" s="1" t="n">
        <v>46182</v>
      </c>
      <c r="D215" t="inlineStr">
        <is>
          <t>VÄSTRA GÖTALANDS LÄN</t>
        </is>
      </c>
      <c r="E215" t="inlineStr">
        <is>
          <t>SKÖVDE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18132-2023</t>
        </is>
      </c>
      <c r="B216" s="1" t="n">
        <v>45040</v>
      </c>
      <c r="C216" s="1" t="n">
        <v>46182</v>
      </c>
      <c r="D216" t="inlineStr">
        <is>
          <t>VÄSTRA GÖTALANDS LÄN</t>
        </is>
      </c>
      <c r="E216" t="inlineStr">
        <is>
          <t>SKÖVDE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6224-2022</t>
        </is>
      </c>
      <c r="B217" s="1" t="n">
        <v>44600.39609953704</v>
      </c>
      <c r="C217" s="1" t="n">
        <v>46182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21687-2026</t>
        </is>
      </c>
      <c r="B218" s="1" t="n">
        <v>46149.5118287037</v>
      </c>
      <c r="C218" s="1" t="n">
        <v>46182</v>
      </c>
      <c r="D218" t="inlineStr">
        <is>
          <t>VÄSTRA GÖTALANDS LÄN</t>
        </is>
      </c>
      <c r="E218" t="inlineStr">
        <is>
          <t>SKÖVDE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26699-2022</t>
        </is>
      </c>
      <c r="B219" s="1" t="n">
        <v>44739.72042824074</v>
      </c>
      <c r="C219" s="1" t="n">
        <v>46182</v>
      </c>
      <c r="D219" t="inlineStr">
        <is>
          <t>VÄSTRA GÖTALANDS LÄN</t>
        </is>
      </c>
      <c r="E219" t="inlineStr">
        <is>
          <t>SKÖVDE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41722-2024</t>
        </is>
      </c>
      <c r="B220" s="1" t="n">
        <v>45560</v>
      </c>
      <c r="C220" s="1" t="n">
        <v>46182</v>
      </c>
      <c r="D220" t="inlineStr">
        <is>
          <t>VÄSTRA GÖTALANDS LÄN</t>
        </is>
      </c>
      <c r="E220" t="inlineStr">
        <is>
          <t>SKÖVDE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5466-2025</t>
        </is>
      </c>
      <c r="B221" s="1" t="n">
        <v>45693.32571759259</v>
      </c>
      <c r="C221" s="1" t="n">
        <v>46182</v>
      </c>
      <c r="D221" t="inlineStr">
        <is>
          <t>VÄSTRA GÖTALANDS LÄN</t>
        </is>
      </c>
      <c r="E221" t="inlineStr">
        <is>
          <t>SKÖVDE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1641-2024</t>
        </is>
      </c>
      <c r="B222" s="1" t="n">
        <v>45306.66873842593</v>
      </c>
      <c r="C222" s="1" t="n">
        <v>46182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17452-2023</t>
        </is>
      </c>
      <c r="B223" s="1" t="n">
        <v>45036</v>
      </c>
      <c r="C223" s="1" t="n">
        <v>46182</v>
      </c>
      <c r="D223" t="inlineStr">
        <is>
          <t>VÄSTRA GÖTALANDS LÄN</t>
        </is>
      </c>
      <c r="E223" t="inlineStr">
        <is>
          <t>SKÖVDE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1636-2024</t>
        </is>
      </c>
      <c r="B224" s="1" t="n">
        <v>45306</v>
      </c>
      <c r="C224" s="1" t="n">
        <v>46182</v>
      </c>
      <c r="D224" t="inlineStr">
        <is>
          <t>VÄSTRA GÖTALANDS LÄN</t>
        </is>
      </c>
      <c r="E224" t="inlineStr">
        <is>
          <t>SKÖVDE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17021-2026</t>
        </is>
      </c>
      <c r="B225" s="1" t="n">
        <v>46114.45498842592</v>
      </c>
      <c r="C225" s="1" t="n">
        <v>46182</v>
      </c>
      <c r="D225" t="inlineStr">
        <is>
          <t>VÄSTRA GÖTALANDS LÄN</t>
        </is>
      </c>
      <c r="E225" t="inlineStr">
        <is>
          <t>SKÖVDE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10559-2025</t>
        </is>
      </c>
      <c r="B226" s="1" t="n">
        <v>45721.52329861111</v>
      </c>
      <c r="C226" s="1" t="n">
        <v>46182</v>
      </c>
      <c r="D226" t="inlineStr">
        <is>
          <t>VÄSTRA GÖTALANDS LÄN</t>
        </is>
      </c>
      <c r="E226" t="inlineStr">
        <is>
          <t>SKÖVDE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35610-2024</t>
        </is>
      </c>
      <c r="B227" s="1" t="n">
        <v>45531</v>
      </c>
      <c r="C227" s="1" t="n">
        <v>46182</v>
      </c>
      <c r="D227" t="inlineStr">
        <is>
          <t>VÄSTRA GÖTALANDS LÄN</t>
        </is>
      </c>
      <c r="E227" t="inlineStr">
        <is>
          <t>SKÖVDE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2917-2024</t>
        </is>
      </c>
      <c r="B228" s="1" t="n">
        <v>45315.58524305555</v>
      </c>
      <c r="C228" s="1" t="n">
        <v>46182</v>
      </c>
      <c r="D228" t="inlineStr">
        <is>
          <t>VÄSTRA GÖTALANDS LÄN</t>
        </is>
      </c>
      <c r="E228" t="inlineStr">
        <is>
          <t>SKÖVDE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20190-2026</t>
        </is>
      </c>
      <c r="B229" s="1" t="n">
        <v>46139</v>
      </c>
      <c r="C229" s="1" t="n">
        <v>46182</v>
      </c>
      <c r="D229" t="inlineStr">
        <is>
          <t>VÄSTRA GÖTALANDS LÄN</t>
        </is>
      </c>
      <c r="E229" t="inlineStr">
        <is>
          <t>SKÖVDE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4237-2024</t>
        </is>
      </c>
      <c r="B230" s="1" t="n">
        <v>45324</v>
      </c>
      <c r="C230" s="1" t="n">
        <v>46182</v>
      </c>
      <c r="D230" t="inlineStr">
        <is>
          <t>VÄSTRA GÖTALANDS LÄN</t>
        </is>
      </c>
      <c r="E230" t="inlineStr">
        <is>
          <t>SKÖVDE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58342-2023</t>
        </is>
      </c>
      <c r="B231" s="1" t="n">
        <v>45245</v>
      </c>
      <c r="C231" s="1" t="n">
        <v>46182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13901-2025</t>
        </is>
      </c>
      <c r="B232" s="1" t="n">
        <v>45737</v>
      </c>
      <c r="C232" s="1" t="n">
        <v>46182</v>
      </c>
      <c r="D232" t="inlineStr">
        <is>
          <t>VÄSTRA GÖTALANDS LÄN</t>
        </is>
      </c>
      <c r="E232" t="inlineStr">
        <is>
          <t>SKÖVDE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38903-2024</t>
        </is>
      </c>
      <c r="B233" s="1" t="n">
        <v>45547</v>
      </c>
      <c r="C233" s="1" t="n">
        <v>46182</v>
      </c>
      <c r="D233" t="inlineStr">
        <is>
          <t>VÄSTRA GÖTALANDS LÄN</t>
        </is>
      </c>
      <c r="E233" t="inlineStr">
        <is>
          <t>SKÖVDE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5386-2025</t>
        </is>
      </c>
      <c r="B234" s="1" t="n">
        <v>45692.62754629629</v>
      </c>
      <c r="C234" s="1" t="n">
        <v>46182</v>
      </c>
      <c r="D234" t="inlineStr">
        <is>
          <t>VÄSTRA GÖTALANDS LÄN</t>
        </is>
      </c>
      <c r="E234" t="inlineStr">
        <is>
          <t>SKÖVDE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20602-2025</t>
        </is>
      </c>
      <c r="B235" s="1" t="n">
        <v>45775.79440972222</v>
      </c>
      <c r="C235" s="1" t="n">
        <v>46182</v>
      </c>
      <c r="D235" t="inlineStr">
        <is>
          <t>VÄSTRA GÖTALANDS LÄN</t>
        </is>
      </c>
      <c r="E235" t="inlineStr">
        <is>
          <t>SKÖVDE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59053-2024</t>
        </is>
      </c>
      <c r="B236" s="1" t="n">
        <v>45636.80626157407</v>
      </c>
      <c r="C236" s="1" t="n">
        <v>46182</v>
      </c>
      <c r="D236" t="inlineStr">
        <is>
          <t>VÄSTRA GÖTALANDS LÄN</t>
        </is>
      </c>
      <c r="E236" t="inlineStr">
        <is>
          <t>SKÖVDE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40712-2021</t>
        </is>
      </c>
      <c r="B237" s="1" t="n">
        <v>44420</v>
      </c>
      <c r="C237" s="1" t="n">
        <v>46182</v>
      </c>
      <c r="D237" t="inlineStr">
        <is>
          <t>VÄSTRA GÖTALANDS LÄN</t>
        </is>
      </c>
      <c r="E237" t="inlineStr">
        <is>
          <t>SKÖVDE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5714-2025</t>
        </is>
      </c>
      <c r="B238" s="1" t="n">
        <v>45694.46822916667</v>
      </c>
      <c r="C238" s="1" t="n">
        <v>46182</v>
      </c>
      <c r="D238" t="inlineStr">
        <is>
          <t>VÄSTRA GÖTALANDS LÄN</t>
        </is>
      </c>
      <c r="E238" t="inlineStr">
        <is>
          <t>SKÖVDE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3948-2024</t>
        </is>
      </c>
      <c r="B239" s="1" t="n">
        <v>45322</v>
      </c>
      <c r="C239" s="1" t="n">
        <v>46182</v>
      </c>
      <c r="D239" t="inlineStr">
        <is>
          <t>VÄSTRA GÖTALANDS LÄN</t>
        </is>
      </c>
      <c r="E239" t="inlineStr">
        <is>
          <t>SKÖVDE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22021-2025</t>
        </is>
      </c>
      <c r="B240" s="1" t="n">
        <v>45784</v>
      </c>
      <c r="C240" s="1" t="n">
        <v>46182</v>
      </c>
      <c r="D240" t="inlineStr">
        <is>
          <t>VÄSTRA GÖTALANDS LÄN</t>
        </is>
      </c>
      <c r="E240" t="inlineStr">
        <is>
          <t>SKÖVDE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9640-2025</t>
        </is>
      </c>
      <c r="B241" s="1" t="n">
        <v>45715.83090277778</v>
      </c>
      <c r="C241" s="1" t="n">
        <v>46182</v>
      </c>
      <c r="D241" t="inlineStr">
        <is>
          <t>VÄSTRA GÖTALANDS LÄN</t>
        </is>
      </c>
      <c r="E241" t="inlineStr">
        <is>
          <t>SKÖVDE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2858-2024</t>
        </is>
      </c>
      <c r="B242" s="1" t="n">
        <v>45315.43131944445</v>
      </c>
      <c r="C242" s="1" t="n">
        <v>46182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14964-2025</t>
        </is>
      </c>
      <c r="B243" s="1" t="n">
        <v>45743.58701388889</v>
      </c>
      <c r="C243" s="1" t="n">
        <v>46182</v>
      </c>
      <c r="D243" t="inlineStr">
        <is>
          <t>VÄSTRA GÖTALANDS LÄN</t>
        </is>
      </c>
      <c r="E243" t="inlineStr">
        <is>
          <t>SKÖVDE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14969-2025</t>
        </is>
      </c>
      <c r="B244" s="1" t="n">
        <v>45743.5912962963</v>
      </c>
      <c r="C244" s="1" t="n">
        <v>46182</v>
      </c>
      <c r="D244" t="inlineStr">
        <is>
          <t>VÄSTRA GÖTALANDS LÄN</t>
        </is>
      </c>
      <c r="E244" t="inlineStr">
        <is>
          <t>SKÖVDE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8606-2025</t>
        </is>
      </c>
      <c r="B245" s="1" t="n">
        <v>45710.38600694444</v>
      </c>
      <c r="C245" s="1" t="n">
        <v>46182</v>
      </c>
      <c r="D245" t="inlineStr">
        <is>
          <t>VÄSTRA GÖTALANDS LÄN</t>
        </is>
      </c>
      <c r="E245" t="inlineStr">
        <is>
          <t>SKÖVDE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61213-2024</t>
        </is>
      </c>
      <c r="B246" s="1" t="n">
        <v>45645.65461805555</v>
      </c>
      <c r="C246" s="1" t="n">
        <v>46182</v>
      </c>
      <c r="D246" t="inlineStr">
        <is>
          <t>VÄSTRA GÖTALANDS LÄN</t>
        </is>
      </c>
      <c r="E246" t="inlineStr">
        <is>
          <t>SKÖVDE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23487-2025</t>
        </is>
      </c>
      <c r="B247" s="1" t="n">
        <v>45792.4653587963</v>
      </c>
      <c r="C247" s="1" t="n">
        <v>46182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5658-2024</t>
        </is>
      </c>
      <c r="B248" s="1" t="n">
        <v>45334</v>
      </c>
      <c r="C248" s="1" t="n">
        <v>46182</v>
      </c>
      <c r="D248" t="inlineStr">
        <is>
          <t>VÄSTRA GÖTALANDS LÄN</t>
        </is>
      </c>
      <c r="E248" t="inlineStr">
        <is>
          <t>SKÖVDE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24383-2025</t>
        </is>
      </c>
      <c r="B249" s="1" t="n">
        <v>45797.62940972222</v>
      </c>
      <c r="C249" s="1" t="n">
        <v>46182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30034-2021</t>
        </is>
      </c>
      <c r="B250" s="1" t="n">
        <v>44363</v>
      </c>
      <c r="C250" s="1" t="n">
        <v>46182</v>
      </c>
      <c r="D250" t="inlineStr">
        <is>
          <t>VÄSTRA GÖTALANDS LÄN</t>
        </is>
      </c>
      <c r="E250" t="inlineStr">
        <is>
          <t>SKÖVDE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35069-2023</t>
        </is>
      </c>
      <c r="B251" s="1" t="n">
        <v>45142</v>
      </c>
      <c r="C251" s="1" t="n">
        <v>46182</v>
      </c>
      <c r="D251" t="inlineStr">
        <is>
          <t>VÄSTRA GÖTALANDS LÄN</t>
        </is>
      </c>
      <c r="E251" t="inlineStr">
        <is>
          <t>SKÖVDE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12972-2025</t>
        </is>
      </c>
      <c r="B252" s="1" t="n">
        <v>45734.43846064815</v>
      </c>
      <c r="C252" s="1" t="n">
        <v>46182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46182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24186-2025</t>
        </is>
      </c>
      <c r="B254" s="1" t="n">
        <v>45796.82644675926</v>
      </c>
      <c r="C254" s="1" t="n">
        <v>46182</v>
      </c>
      <c r="D254" t="inlineStr">
        <is>
          <t>VÄSTRA GÖTALANDS LÄN</t>
        </is>
      </c>
      <c r="E254" t="inlineStr">
        <is>
          <t>SKÖVDE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47466-2024</t>
        </is>
      </c>
      <c r="B255" s="1" t="n">
        <v>45586</v>
      </c>
      <c r="C255" s="1" t="n">
        <v>46182</v>
      </c>
      <c r="D255" t="inlineStr">
        <is>
          <t>VÄSTRA GÖTALANDS LÄN</t>
        </is>
      </c>
      <c r="E255" t="inlineStr">
        <is>
          <t>SKÖVDE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18936-2026</t>
        </is>
      </c>
      <c r="B256" s="1" t="n">
        <v>46129.56936342592</v>
      </c>
      <c r="C256" s="1" t="n">
        <v>46182</v>
      </c>
      <c r="D256" t="inlineStr">
        <is>
          <t>VÄSTRA GÖTALANDS LÄN</t>
        </is>
      </c>
      <c r="E256" t="inlineStr">
        <is>
          <t>SKÖVDE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25168-2023</t>
        </is>
      </c>
      <c r="B257" s="1" t="n">
        <v>45086.51451388889</v>
      </c>
      <c r="C257" s="1" t="n">
        <v>46182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24914-2026</t>
        </is>
      </c>
      <c r="B258" s="1" t="n">
        <v>46174.49211805555</v>
      </c>
      <c r="C258" s="1" t="n">
        <v>46182</v>
      </c>
      <c r="D258" t="inlineStr">
        <is>
          <t>VÄSTRA GÖTALANDS LÄN</t>
        </is>
      </c>
      <c r="E258" t="inlineStr">
        <is>
          <t>SKÖVDE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24962-2025</t>
        </is>
      </c>
      <c r="B259" s="1" t="n">
        <v>45799.57716435185</v>
      </c>
      <c r="C259" s="1" t="n">
        <v>46182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25003-2025</t>
        </is>
      </c>
      <c r="B260" s="1" t="n">
        <v>45799.62331018518</v>
      </c>
      <c r="C260" s="1" t="n">
        <v>46182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25642-2025</t>
        </is>
      </c>
      <c r="B261" s="1" t="n">
        <v>45803.60490740741</v>
      </c>
      <c r="C261" s="1" t="n">
        <v>46182</v>
      </c>
      <c r="D261" t="inlineStr">
        <is>
          <t>VÄSTRA GÖTALANDS LÄN</t>
        </is>
      </c>
      <c r="E261" t="inlineStr">
        <is>
          <t>SKÖVDE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27109-2024</t>
        </is>
      </c>
      <c r="B262" s="1" t="n">
        <v>45471.49974537037</v>
      </c>
      <c r="C262" s="1" t="n">
        <v>46182</v>
      </c>
      <c r="D262" t="inlineStr">
        <is>
          <t>VÄSTRA GÖTALANDS LÄN</t>
        </is>
      </c>
      <c r="E262" t="inlineStr">
        <is>
          <t>SKÖVDE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25271-2025</t>
        </is>
      </c>
      <c r="B263" s="1" t="n">
        <v>45800.55153935185</v>
      </c>
      <c r="C263" s="1" t="n">
        <v>46182</v>
      </c>
      <c r="D263" t="inlineStr">
        <is>
          <t>VÄSTRA GÖTALANDS LÄN</t>
        </is>
      </c>
      <c r="E263" t="inlineStr">
        <is>
          <t>SKÖVDE</t>
        </is>
      </c>
      <c r="F263" t="inlineStr">
        <is>
          <t>Kommuner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25639-2025</t>
        </is>
      </c>
      <c r="B264" s="1" t="n">
        <v>45800</v>
      </c>
      <c r="C264" s="1" t="n">
        <v>46182</v>
      </c>
      <c r="D264" t="inlineStr">
        <is>
          <t>VÄSTRA GÖTALANDS LÄN</t>
        </is>
      </c>
      <c r="E264" t="inlineStr">
        <is>
          <t>SKÖVDE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25093-2025</t>
        </is>
      </c>
      <c r="B265" s="1" t="n">
        <v>45800.33357638889</v>
      </c>
      <c r="C265" s="1" t="n">
        <v>46182</v>
      </c>
      <c r="D265" t="inlineStr">
        <is>
          <t>VÄSTRA GÖTALANDS LÄN</t>
        </is>
      </c>
      <c r="E265" t="inlineStr">
        <is>
          <t>SKÖVDE</t>
        </is>
      </c>
      <c r="F265" t="inlineStr">
        <is>
          <t>Kommuner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9281-2025</t>
        </is>
      </c>
      <c r="B266" s="1" t="n">
        <v>45714</v>
      </c>
      <c r="C266" s="1" t="n">
        <v>46182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5656-2024</t>
        </is>
      </c>
      <c r="B267" s="1" t="n">
        <v>45334</v>
      </c>
      <c r="C267" s="1" t="n">
        <v>46182</v>
      </c>
      <c r="D267" t="inlineStr">
        <is>
          <t>VÄSTRA GÖTALANDS LÄN</t>
        </is>
      </c>
      <c r="E267" t="inlineStr">
        <is>
          <t>SKÖVDE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5656-2024</t>
        </is>
      </c>
      <c r="B268" s="1" t="n">
        <v>45334</v>
      </c>
      <c r="C268" s="1" t="n">
        <v>46182</v>
      </c>
      <c r="D268" t="inlineStr">
        <is>
          <t>VÄSTRA GÖTALANDS LÄN</t>
        </is>
      </c>
      <c r="E268" t="inlineStr">
        <is>
          <t>SKÖVDE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39993-2025</t>
        </is>
      </c>
      <c r="B269" s="1" t="n">
        <v>45894.31541666666</v>
      </c>
      <c r="C269" s="1" t="n">
        <v>46182</v>
      </c>
      <c r="D269" t="inlineStr">
        <is>
          <t>VÄSTRA GÖTALANDS LÄN</t>
        </is>
      </c>
      <c r="E269" t="inlineStr">
        <is>
          <t>SKÖVDE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4316-2025</t>
        </is>
      </c>
      <c r="B270" s="1" t="n">
        <v>45685.70467592592</v>
      </c>
      <c r="C270" s="1" t="n">
        <v>46182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34592-2025</t>
        </is>
      </c>
      <c r="B271" s="1" t="n">
        <v>45847.63085648148</v>
      </c>
      <c r="C271" s="1" t="n">
        <v>46182</v>
      </c>
      <c r="D271" t="inlineStr">
        <is>
          <t>VÄSTRA GÖTALANDS LÄN</t>
        </is>
      </c>
      <c r="E271" t="inlineStr">
        <is>
          <t>SKÖVDE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32837-2025</t>
        </is>
      </c>
      <c r="B272" s="1" t="n">
        <v>45839.55925925926</v>
      </c>
      <c r="C272" s="1" t="n">
        <v>46182</v>
      </c>
      <c r="D272" t="inlineStr">
        <is>
          <t>VÄSTRA GÖTALANDS LÄN</t>
        </is>
      </c>
      <c r="E272" t="inlineStr">
        <is>
          <t>SKÖVDE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5479-2025</t>
        </is>
      </c>
      <c r="B273" s="1" t="n">
        <v>45693.33540509259</v>
      </c>
      <c r="C273" s="1" t="n">
        <v>46182</v>
      </c>
      <c r="D273" t="inlineStr">
        <is>
          <t>VÄSTRA GÖTALANDS LÄN</t>
        </is>
      </c>
      <c r="E273" t="inlineStr">
        <is>
          <t>SKÖVDE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26117-2026</t>
        </is>
      </c>
      <c r="B274" s="1" t="n">
        <v>46181.66653935185</v>
      </c>
      <c r="C274" s="1" t="n">
        <v>46182</v>
      </c>
      <c r="D274" t="inlineStr">
        <is>
          <t>VÄSTRA GÖTALANDS LÄN</t>
        </is>
      </c>
      <c r="E274" t="inlineStr">
        <is>
          <t>SKÖVDE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24996-2025</t>
        </is>
      </c>
      <c r="B275" s="1" t="n">
        <v>45799.61603009259</v>
      </c>
      <c r="C275" s="1" t="n">
        <v>46182</v>
      </c>
      <c r="D275" t="inlineStr">
        <is>
          <t>VÄSTRA GÖTALANDS LÄN</t>
        </is>
      </c>
      <c r="E275" t="inlineStr">
        <is>
          <t>SKÖVDE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3951-2024</t>
        </is>
      </c>
      <c r="B276" s="1" t="n">
        <v>45322</v>
      </c>
      <c r="C276" s="1" t="n">
        <v>46182</v>
      </c>
      <c r="D276" t="inlineStr">
        <is>
          <t>VÄSTRA GÖTALANDS LÄN</t>
        </is>
      </c>
      <c r="E276" t="inlineStr">
        <is>
          <t>SKÖVDE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11917-2024</t>
        </is>
      </c>
      <c r="B277" s="1" t="n">
        <v>45376.60135416667</v>
      </c>
      <c r="C277" s="1" t="n">
        <v>46182</v>
      </c>
      <c r="D277" t="inlineStr">
        <is>
          <t>VÄSTRA GÖTALANDS LÄN</t>
        </is>
      </c>
      <c r="E277" t="inlineStr">
        <is>
          <t>SKÖVDE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2026-06-09T09:26:22Z</dcterms:created>
  <dcterms:modified xmlns:dcterms="http://purl.org/dc/terms/" xmlns:xsi="http://www.w3.org/2001/XMLSchema-instance" xsi:type="dcterms:W3CDTF">2026-06-09T09:26:22Z</dcterms:modified>
</cp:coreProperties>
</file>