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46291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46291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46291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46291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46291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46291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46291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46291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46291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46291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46291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46291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46291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46291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31621-2024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45506</v>
      </c>
      <c r="E20" s="1" t="n">
        <v>46291</v>
      </c>
      <c r="F20" t="inlineStr">
        <is>
          <t>VÄSTRA GÖTALANDS LÄN</t>
        </is>
      </c>
      <c r="G20" t="inlineStr">
        <is>
          <t>SKÖVDE</t>
        </is>
      </c>
      <c r="I20" t="n">
        <v>1.3</v>
      </c>
      <c r="J20" t="n">
        <v>0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3</v>
      </c>
      <c r="T20" t="n">
        <v>3</v>
      </c>
      <c r="U20" t="n">
        <v>0</v>
      </c>
      <c r="V20" s="2" t="inlineStr">
        <is>
          <t>Ask
Plattsäv
Majviva</t>
        </is>
      </c>
      <c r="W20">
        <f>HYPERLINK("https://klasma.github.io/Logging_1496/artfynd/A 31621-2024 artfynd.xlsx", "A 31621-2024")</f>
        <v/>
      </c>
      <c r="X20">
        <f>HYPERLINK("https://klasma.github.io/Logging_1496/kartor/A 31621-2024 karta.png", "A 31621-2024")</f>
        <v/>
      </c>
      <c r="Y20">
        <f>HYPERLINK("https://klasma.github.io/Logging_1496/kartor_geotiff/A 31621-2024 georefererad karta.tif", "A 31621-2024")</f>
        <v/>
      </c>
      <c r="AA20">
        <f>HYPERLINK("https://klasma.github.io/Logging_1496/klagomål/A 31621-2024 FSC-klagomål.docx", "A 31621-2024")</f>
        <v/>
      </c>
      <c r="AB20">
        <f>HYPERLINK("https://klasma.github.io/Logging_1496/klagomålsmail/A 31621-2024 FSC-klagomål mail.docx", "A 31621-2024")</f>
        <v/>
      </c>
      <c r="AC20">
        <f>HYPERLINK("https://klasma.github.io/Logging_1496/tillsyn/A 31621-2024 tillsynsbegäran.docx", "A 31621-2024")</f>
        <v/>
      </c>
      <c r="AD20">
        <f>HYPERLINK("https://klasma.github.io/Logging_1496/tillsynsmail/A 31621-2024 tillsynsbegäran mail.docx", "A 31621-2024")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46291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46291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46291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2579-2023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46291</v>
      </c>
      <c r="F24" t="inlineStr">
        <is>
          <t>VÄSTRA GÖTALANDS LÄN</t>
        </is>
      </c>
      <c r="G24" t="inlineStr">
        <is>
          <t>SKÖVDE</t>
        </is>
      </c>
      <c r="I24" t="n">
        <v>5.3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Skogsknipprot
Svart trolldruva
Fläcknycklar</t>
        </is>
      </c>
      <c r="W24">
        <f>HYPERLINK("https://klasma.github.io/Logging_1496/artfynd/A 2579-2023 artfynd.xlsx", "A 2579-2023")</f>
        <v/>
      </c>
      <c r="X24">
        <f>HYPERLINK("https://klasma.github.io/Logging_1496/kartor/A 2579-2023 karta.png", "A 2579-2023")</f>
        <v/>
      </c>
      <c r="Y24">
        <f>HYPERLINK("https://klasma.github.io/Logging_1496/kartor_geotiff/A 2579-2023 georefererad karta.tif", "A 2579-2023")</f>
        <v/>
      </c>
      <c r="AA24">
        <f>HYPERLINK("https://klasma.github.io/Logging_1496/klagomål/A 2579-2023 FSC-klagomål.docx", "A 2579-2023")</f>
        <v/>
      </c>
      <c r="AB24">
        <f>HYPERLINK("https://klasma.github.io/Logging_1496/klagomålsmail/A 2579-2023 FSC-klagomål mail.docx", "A 2579-2023")</f>
        <v/>
      </c>
      <c r="AC24">
        <f>HYPERLINK("https://klasma.github.io/Logging_1496/tillsyn/A 2579-2023 tillsynsbegäran.docx", "A 2579-2023")</f>
        <v/>
      </c>
      <c r="AD24">
        <f>HYPERLINK("https://klasma.github.io/Logging_1496/tillsynsmail/A 2579-2023 tillsynsbegäran mail.docx", "A 2579-2023")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46291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39624-2026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46291</v>
      </c>
      <c r="F26" t="inlineStr">
        <is>
          <t>VÄSTRA GÖTALANDS LÄN</t>
        </is>
      </c>
      <c r="G26" t="inlineStr">
        <is>
          <t>SKÖVDE</t>
        </is>
      </c>
      <c r="I26" t="n">
        <v>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Skogsbräsma
Grönvit nattviol</t>
        </is>
      </c>
      <c r="W26">
        <f>HYPERLINK("https://klasma.github.io/Logging_1496/artfynd/A 39624-2026 artfynd.xlsx", "A 39624-2026")</f>
        <v/>
      </c>
      <c r="X26">
        <f>HYPERLINK("https://klasma.github.io/Logging_1496/kartor/A 39624-2026 karta.png", "A 39624-2026")</f>
        <v/>
      </c>
      <c r="Y26">
        <f>HYPERLINK("https://klasma.github.io/Logging_1496/kartor_geotiff/A 39624-2026 georefererad karta.tif", "A 39624-2026")</f>
        <v/>
      </c>
      <c r="AA26">
        <f>HYPERLINK("https://klasma.github.io/Logging_1496/klagomål/A 39624-2026 FSC-klagomål.docx", "A 39624-2026")</f>
        <v/>
      </c>
      <c r="AB26">
        <f>HYPERLINK("https://klasma.github.io/Logging_1496/klagomålsmail/A 39624-2026 FSC-klagomål mail.docx", "A 39624-2026")</f>
        <v/>
      </c>
      <c r="AC26">
        <f>HYPERLINK("https://klasma.github.io/Logging_1496/tillsyn/A 39624-2026 tillsynsbegäran.docx", "A 39624-2026")</f>
        <v/>
      </c>
      <c r="AD26">
        <f>HYPERLINK("https://klasma.github.io/Logging_1496/tillsynsmail/A 39624-2026 tillsynsbegäran mail.docx", "A 39624-2026")</f>
        <v/>
      </c>
    </row>
    <row r="27" ht="15" customHeight="1">
      <c r="A27" t="inlineStr">
        <is>
          <t>A 100-2023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46291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1.4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Borsttåg
Ängsstarr
Purpurknipprot</t>
        </is>
      </c>
      <c r="W27">
        <f>HYPERLINK("https://klasma.github.io/Logging_1496/artfynd/A 100-2023 artfynd.xlsx", "A 100-2023")</f>
        <v/>
      </c>
      <c r="X27">
        <f>HYPERLINK("https://klasma.github.io/Logging_1496/kartor/A 100-2023 karta.png", "A 100-2023")</f>
        <v/>
      </c>
      <c r="Y27">
        <f>HYPERLINK("https://klasma.github.io/Logging_1496/kartor_geotiff/A 100-2023 georefererad karta.tif", "A 100-2023")</f>
        <v/>
      </c>
      <c r="AA27">
        <f>HYPERLINK("https://klasma.github.io/Logging_1496/klagomål/A 100-2023 FSC-klagomål.docx", "A 100-2023")</f>
        <v/>
      </c>
      <c r="AB27">
        <f>HYPERLINK("https://klasma.github.io/Logging_1496/klagomålsmail/A 100-2023 FSC-klagomål mail.docx", "A 100-2023")</f>
        <v/>
      </c>
      <c r="AC27">
        <f>HYPERLINK("https://klasma.github.io/Logging_1496/tillsyn/A 100-2023 tillsynsbegäran.docx", "A 100-2023")</f>
        <v/>
      </c>
      <c r="AD27">
        <f>HYPERLINK("https://klasma.github.io/Logging_1496/tillsynsmail/A 100-2023 tillsynsbegäran mail.docx", "A 100-2023")</f>
        <v/>
      </c>
    </row>
    <row r="28" ht="15" customHeight="1">
      <c r="A28" t="inlineStr">
        <is>
          <t>A 25093-2025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46291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2</v>
      </c>
      <c r="U28" t="n">
        <v>0</v>
      </c>
      <c r="V28" s="2" t="inlineStr">
        <is>
          <t>Ask
Skogsalm</t>
        </is>
      </c>
      <c r="W28">
        <f>HYPERLINK("https://klasma.github.io/Logging_1496/artfynd/A 25093-2025 artfynd.xlsx", "A 25093-2025")</f>
        <v/>
      </c>
      <c r="X28">
        <f>HYPERLINK("https://klasma.github.io/Logging_1496/kartor/A 25093-2025 karta.png", "A 25093-2025")</f>
        <v/>
      </c>
      <c r="Y28">
        <f>HYPERLINK("https://klasma.github.io/Logging_1496/kartor_geotiff/A 25093-2025 georefererad karta.tif", "A 25093-2025")</f>
        <v/>
      </c>
      <c r="AA28">
        <f>HYPERLINK("https://klasma.github.io/Logging_1496/klagomål/A 25093-2025 FSC-klagomål.docx", "A 25093-2025")</f>
        <v/>
      </c>
      <c r="AB28">
        <f>HYPERLINK("https://klasma.github.io/Logging_1496/klagomålsmail/A 25093-2025 FSC-klagomål mail.docx", "A 25093-2025")</f>
        <v/>
      </c>
      <c r="AC28">
        <f>HYPERLINK("https://klasma.github.io/Logging_1496/tillsyn/A 25093-2025 tillsynsbegäran.docx", "A 25093-2025")</f>
        <v/>
      </c>
      <c r="AD28">
        <f>HYPERLINK("https://klasma.github.io/Logging_1496/tillsynsmail/A 25093-2025 tillsynsbegäran mail.docx", "A 25093-2025")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46291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46291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60172-2021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46291</v>
      </c>
      <c r="F31" t="inlineStr">
        <is>
          <t>VÄSTRA GÖTALANDS LÄN</t>
        </is>
      </c>
      <c r="G31" t="inlineStr">
        <is>
          <t>SKÖVDE</t>
        </is>
      </c>
      <c r="I31" t="n">
        <v>1.4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Skogsbräsma
Fläcknycklar</t>
        </is>
      </c>
      <c r="W31">
        <f>HYPERLINK("https://klasma.github.io/Logging_1496/artfynd/A 60172-2021 artfynd.xlsx", "A 60172-2021")</f>
        <v/>
      </c>
      <c r="X31">
        <f>HYPERLINK("https://klasma.github.io/Logging_1496/kartor/A 60172-2021 karta.png", "A 60172-2021")</f>
        <v/>
      </c>
      <c r="Y31">
        <f>HYPERLINK("https://klasma.github.io/Logging_1496/kartor_geotiff/A 60172-2021 georefererad karta.tif", "A 60172-2021")</f>
        <v/>
      </c>
      <c r="AA31">
        <f>HYPERLINK("https://klasma.github.io/Logging_1496/klagomål/A 60172-2021 FSC-klagomål.docx", "A 60172-2021")</f>
        <v/>
      </c>
      <c r="AB31">
        <f>HYPERLINK("https://klasma.github.io/Logging_1496/klagomålsmail/A 60172-2021 FSC-klagomål mail.docx", "A 60172-2021")</f>
        <v/>
      </c>
      <c r="AC31">
        <f>HYPERLINK("https://klasma.github.io/Logging_1496/tillsyn/A 60172-2021 tillsynsbegäran.docx", "A 60172-2021")</f>
        <v/>
      </c>
      <c r="AD31">
        <f>HYPERLINK("https://klasma.github.io/Logging_1496/tillsynsmail/A 60172-2021 tillsynsbegäran mail.docx", "A 60172-2021")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46291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24383-2025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46291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0.8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Åkergroda</t>
        </is>
      </c>
      <c r="W33">
        <f>HYPERLINK("https://klasma.github.io/Logging_1496/artfynd/A 24383-2025 artfynd.xlsx", "A 24383-2025")</f>
        <v/>
      </c>
      <c r="X33">
        <f>HYPERLINK("https://klasma.github.io/Logging_1496/kartor/A 24383-2025 karta.png", "A 24383-2025")</f>
        <v/>
      </c>
      <c r="Y33">
        <f>HYPERLINK("https://klasma.github.io/Logging_1496/kartor_geotiff/A 24383-2025 georefererad karta.tif", "A 24383-2025")</f>
        <v/>
      </c>
      <c r="AA33">
        <f>HYPERLINK("https://klasma.github.io/Logging_1496/klagomål/A 24383-2025 FSC-klagomål.docx", "A 24383-2025")</f>
        <v/>
      </c>
      <c r="AB33">
        <f>HYPERLINK("https://klasma.github.io/Logging_1496/klagomålsmail/A 24383-2025 FSC-klagomål mail.docx", "A 24383-2025")</f>
        <v/>
      </c>
      <c r="AC33">
        <f>HYPERLINK("https://klasma.github.io/Logging_1496/tillsyn/A 24383-2025 tillsynsbegäran.docx", "A 24383-2025")</f>
        <v/>
      </c>
      <c r="AD33">
        <f>HYPERLINK("https://klasma.github.io/Logging_1496/tillsynsmail/A 24383-2025 tillsynsbegäran mail.docx", "A 24383-2025")</f>
        <v/>
      </c>
      <c r="AE33">
        <f>HYPERLINK("https://klasma.github.io/Logging_1496/fåglar/A 24383-2025 prioriterade fågelarter.docx", "A 24383-2025")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46291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46291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42017-2025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46291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Mattlummer</t>
        </is>
      </c>
      <c r="W36">
        <f>HYPERLINK("https://klasma.github.io/Logging_1496/artfynd/A 42017-2025 artfynd.xlsx", "A 42017-2025")</f>
        <v/>
      </c>
      <c r="X36">
        <f>HYPERLINK("https://klasma.github.io/Logging_1496/kartor/A 42017-2025 karta.png", "A 42017-2025")</f>
        <v/>
      </c>
      <c r="Y36">
        <f>HYPERLINK("https://klasma.github.io/Logging_1496/kartor_geotiff/A 42017-2025 georefererad karta.tif", "A 42017-2025")</f>
        <v/>
      </c>
      <c r="AA36">
        <f>HYPERLINK("https://klasma.github.io/Logging_1496/klagomål/A 42017-2025 FSC-klagomål.docx", "A 42017-2025")</f>
        <v/>
      </c>
      <c r="AB36">
        <f>HYPERLINK("https://klasma.github.io/Logging_1496/klagomålsmail/A 42017-2025 FSC-klagomål mail.docx", "A 42017-2025")</f>
        <v/>
      </c>
      <c r="AC36">
        <f>HYPERLINK("https://klasma.github.io/Logging_1496/tillsyn/A 42017-2025 tillsynsbegäran.docx", "A 42017-2025")</f>
        <v/>
      </c>
      <c r="AD36">
        <f>HYPERLINK("https://klasma.github.io/Logging_1496/tillsynsmail/A 42017-2025 tillsynsbegäran mail.docx", "A 42017-2025")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46291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58467-2024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46291</v>
      </c>
      <c r="F38" t="inlineStr">
        <is>
          <t>VÄSTRA GÖTALANDS LÄN</t>
        </is>
      </c>
      <c r="G38" t="inlineStr">
        <is>
          <t>SKÖVDE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Sommarfibbla
Mattlummer</t>
        </is>
      </c>
      <c r="W38">
        <f>HYPERLINK("https://klasma.github.io/Logging_1496/artfynd/A 58467-2024 artfynd.xlsx", "A 58467-2024")</f>
        <v/>
      </c>
      <c r="X38">
        <f>HYPERLINK("https://klasma.github.io/Logging_1496/kartor/A 58467-2024 karta.png", "A 58467-2024")</f>
        <v/>
      </c>
      <c r="Y38">
        <f>HYPERLINK("https://klasma.github.io/Logging_1496/kartor_geotiff/A 58467-2024 georefererad karta.tif", "A 58467-2024")</f>
        <v/>
      </c>
      <c r="AA38">
        <f>HYPERLINK("https://klasma.github.io/Logging_1496/klagomål/A 58467-2024 FSC-klagomål.docx", "A 58467-2024")</f>
        <v/>
      </c>
      <c r="AB38">
        <f>HYPERLINK("https://klasma.github.io/Logging_1496/klagomålsmail/A 58467-2024 FSC-klagomål mail.docx", "A 58467-2024")</f>
        <v/>
      </c>
      <c r="AC38">
        <f>HYPERLINK("https://klasma.github.io/Logging_1496/tillsyn/A 58467-2024 tillsynsbegäran.docx", "A 58467-2024")</f>
        <v/>
      </c>
      <c r="AD38">
        <f>HYPERLINK("https://klasma.github.io/Logging_1496/tillsynsmail/A 58467-2024 tillsynsbegäran mail.docx", "A 58467-2024")</f>
        <v/>
      </c>
    </row>
    <row r="39" ht="15" customHeight="1">
      <c r="A39" t="inlineStr">
        <is>
          <t>A 22268-2025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45785</v>
      </c>
      <c r="E39" s="1" t="n">
        <v>46291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2</v>
      </c>
      <c r="V39" s="2" t="inlineStr">
        <is>
          <t>Knärot
Motaggsvamp</t>
        </is>
      </c>
      <c r="W39">
        <f>HYPERLINK("https://klasma.github.io/Logging_1496/artfynd/A 22268-2025 artfynd.xlsx", "A 22268-2025")</f>
        <v/>
      </c>
      <c r="X39">
        <f>HYPERLINK("https://klasma.github.io/Logging_1496/kartor/A 22268-2025 karta.png", "A 22268-2025")</f>
        <v/>
      </c>
      <c r="Y39">
        <f>HYPERLINK("https://klasma.github.io/Logging_1496/kartor_geotiff/A 22268-2025 georefererad karta.tif", "A 22268-2025")</f>
        <v/>
      </c>
      <c r="Z39">
        <f>HYPERLINK("https://klasma.github.io/Logging_1496/knärot/A 22268-2025 karta knärot.png", "A 22268-2025")</f>
        <v/>
      </c>
      <c r="AA39">
        <f>HYPERLINK("https://klasma.github.io/Logging_1496/klagomål/A 22268-2025 FSC-klagomål.docx", "A 22268-2025")</f>
        <v/>
      </c>
      <c r="AB39">
        <f>HYPERLINK("https://klasma.github.io/Logging_1496/klagomålsmail/A 22268-2025 FSC-klagomål mail.docx", "A 22268-2025")</f>
        <v/>
      </c>
      <c r="AC39">
        <f>HYPERLINK("https://klasma.github.io/Logging_1496/tillsyn/A 22268-2025 tillsynsbegäran.docx", "A 22268-2025")</f>
        <v/>
      </c>
      <c r="AD39">
        <f>HYPERLINK("https://klasma.github.io/Logging_1496/tillsynsmail/A 22268-2025 tillsynsbegäran mail.docx", "A 22268-2025")</f>
        <v/>
      </c>
    </row>
    <row r="40" ht="15" customHeight="1">
      <c r="A40" t="inlineStr">
        <is>
          <t>A 14964-2025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45743</v>
      </c>
      <c r="E40" s="1" t="n">
        <v>46291</v>
      </c>
      <c r="F40" t="inlineStr">
        <is>
          <t>VÄSTRA GÖTALANDS LÄN</t>
        </is>
      </c>
      <c r="G40" t="inlineStr">
        <is>
          <t>SKÖVDE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Gullpudra</t>
        </is>
      </c>
      <c r="W40">
        <f>HYPERLINK("https://klasma.github.io/Logging_1496/artfynd/A 14964-2025 artfynd.xlsx", "A 14964-2025")</f>
        <v/>
      </c>
      <c r="X40">
        <f>HYPERLINK("https://klasma.github.io/Logging_1496/kartor/A 14964-2025 karta.png", "A 14964-2025")</f>
        <v/>
      </c>
      <c r="Y40">
        <f>HYPERLINK("https://klasma.github.io/Logging_1496/kartor_geotiff/A 14964-2025 georefererad karta.tif", "A 14964-2025")</f>
        <v/>
      </c>
      <c r="AA40">
        <f>HYPERLINK("https://klasma.github.io/Logging_1496/klagomål/A 14964-2025 FSC-klagomål.docx", "A 14964-2025")</f>
        <v/>
      </c>
      <c r="AB40">
        <f>HYPERLINK("https://klasma.github.io/Logging_1496/klagomålsmail/A 14964-2025 FSC-klagomål mail.docx", "A 14964-2025")</f>
        <v/>
      </c>
      <c r="AC40">
        <f>HYPERLINK("https://klasma.github.io/Logging_1496/tillsyn/A 14964-2025 tillsynsbegäran.docx", "A 14964-2025")</f>
        <v/>
      </c>
      <c r="AD40">
        <f>HYPERLINK("https://klasma.github.io/Logging_1496/tillsynsmail/A 14964-2025 tillsynsbegäran mail.docx", "A 14964-2025")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46291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46291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4464-2026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46045</v>
      </c>
      <c r="E43" s="1" t="n">
        <v>46291</v>
      </c>
      <c r="F43" t="inlineStr">
        <is>
          <t>VÄSTRA GÖTALANDS LÄN</t>
        </is>
      </c>
      <c r="G43" t="inlineStr">
        <is>
          <t>SKÖVDE</t>
        </is>
      </c>
      <c r="I43" t="n">
        <v>0.7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Myskmadra</t>
        </is>
      </c>
      <c r="W43">
        <f>HYPERLINK("https://klasma.github.io/Logging_1496/artfynd/A 4464-2026 artfynd.xlsx", "A 4464-2026")</f>
        <v/>
      </c>
      <c r="X43">
        <f>HYPERLINK("https://klasma.github.io/Logging_1496/kartor/A 4464-2026 karta.png", "A 4464-2026")</f>
        <v/>
      </c>
      <c r="Y43">
        <f>HYPERLINK("https://klasma.github.io/Logging_1496/kartor_geotiff/A 4464-2026 georefererad karta.tif", "A 4464-2026")</f>
        <v/>
      </c>
      <c r="AA43">
        <f>HYPERLINK("https://klasma.github.io/Logging_1496/klagomål/A 4464-2026 FSC-klagomål.docx", "A 4464-2026")</f>
        <v/>
      </c>
      <c r="AB43">
        <f>HYPERLINK("https://klasma.github.io/Logging_1496/klagomålsmail/A 4464-2026 FSC-klagomål mail.docx", "A 4464-2026")</f>
        <v/>
      </c>
      <c r="AC43">
        <f>HYPERLINK("https://klasma.github.io/Logging_1496/tillsyn/A 4464-2026 tillsynsbegäran.docx", "A 4464-2026")</f>
        <v/>
      </c>
      <c r="AD43">
        <f>HYPERLINK("https://klasma.github.io/Logging_1496/tillsynsmail/A 4464-2026 tillsynsbegäran mail.docx", "A 4464-2026")</f>
        <v/>
      </c>
    </row>
    <row r="44" ht="15" customHeight="1">
      <c r="A44" t="inlineStr">
        <is>
          <t>A 6093-2026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46052</v>
      </c>
      <c r="E44" s="1" t="n">
        <v>46291</v>
      </c>
      <c r="F44" t="inlineStr">
        <is>
          <t>VÄSTRA GÖTALANDS LÄN</t>
        </is>
      </c>
      <c r="G44" t="inlineStr">
        <is>
          <t>SKÖVDE</t>
        </is>
      </c>
      <c r="I44" t="n">
        <v>5.8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Svinrot</t>
        </is>
      </c>
      <c r="W44">
        <f>HYPERLINK("https://klasma.github.io/Logging_1496/artfynd/A 6093-2026 artfynd.xlsx", "A 6093-2026")</f>
        <v/>
      </c>
      <c r="X44">
        <f>HYPERLINK("https://klasma.github.io/Logging_1496/kartor/A 6093-2026 karta.png", "A 6093-2026")</f>
        <v/>
      </c>
      <c r="Y44">
        <f>HYPERLINK("https://klasma.github.io/Logging_1496/kartor_geotiff/A 6093-2026 georefererad karta.tif", "A 6093-2026")</f>
        <v/>
      </c>
      <c r="AA44">
        <f>HYPERLINK("https://klasma.github.io/Logging_1496/klagomål/A 6093-2026 FSC-klagomål.docx", "A 6093-2026")</f>
        <v/>
      </c>
      <c r="AB44">
        <f>HYPERLINK("https://klasma.github.io/Logging_1496/klagomålsmail/A 6093-2026 FSC-klagomål mail.docx", "A 6093-2026")</f>
        <v/>
      </c>
      <c r="AC44">
        <f>HYPERLINK("https://klasma.github.io/Logging_1496/tillsyn/A 6093-2026 tillsynsbegäran.docx", "A 6093-2026")</f>
        <v/>
      </c>
      <c r="AD44">
        <f>HYPERLINK("https://klasma.github.io/Logging_1496/tillsynsmail/A 6093-2026 tillsynsbegäran mail.docx", "A 6093-2026")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46291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46291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46291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3951-2024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46291</v>
      </c>
      <c r="F48" t="inlineStr">
        <is>
          <t>VÄSTRA GÖTALANDS LÄN</t>
        </is>
      </c>
      <c r="G48" t="inlineStr">
        <is>
          <t>SKÖVDE</t>
        </is>
      </c>
      <c r="I48" t="n">
        <v>10.7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3951-2024 artfynd.xlsx", "A 3951-2024")</f>
        <v/>
      </c>
      <c r="X48">
        <f>HYPERLINK("https://klasma.github.io/Logging_1496/kartor/A 3951-2024 karta.png", "A 3951-2024")</f>
        <v/>
      </c>
      <c r="Y48">
        <f>HYPERLINK("https://klasma.github.io/Logging_1496/kartor_geotiff/A 3951-2024 georefererad karta.tif", "A 3951-2024")</f>
        <v/>
      </c>
      <c r="AA48">
        <f>HYPERLINK("https://klasma.github.io/Logging_1496/klagomål/A 3951-2024 FSC-klagomål.docx", "A 3951-2024")</f>
        <v/>
      </c>
      <c r="AB48">
        <f>HYPERLINK("https://klasma.github.io/Logging_1496/klagomålsmail/A 3951-2024 FSC-klagomål mail.docx", "A 3951-2024")</f>
        <v/>
      </c>
      <c r="AC48">
        <f>HYPERLINK("https://klasma.github.io/Logging_1496/tillsyn/A 3951-2024 tillsynsbegäran.docx", "A 3951-2024")</f>
        <v/>
      </c>
      <c r="AD48">
        <f>HYPERLINK("https://klasma.github.io/Logging_1496/tillsynsmail/A 3951-2024 tillsynsbegäran mail.docx", "A 3951-2024")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46291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46291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46291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29011-2023 artfynd.xlsx", "A 29011-2023")</f>
        <v/>
      </c>
      <c r="X51">
        <f>HYPERLINK("https://klasma.github.io/Logging_1496/kartor/A 29011-2023 karta.png", "A 29011-2023")</f>
        <v/>
      </c>
      <c r="Y51">
        <f>HYPERLINK("https://klasma.github.io/Logging_1496/kartor_geotiff/A 29011-2023 georefererad karta.tif", "A 29011-2023")</f>
        <v/>
      </c>
      <c r="AA51">
        <f>HYPERLINK("https://klasma.github.io/Logging_1496/klagomål/A 29011-2023 FSC-klagomål.docx", "A 29011-2023")</f>
        <v/>
      </c>
      <c r="AB51">
        <f>HYPERLINK("https://klasma.github.io/Logging_1496/klagomålsmail/A 29011-2023 FSC-klagomål mail.docx", "A 29011-2023")</f>
        <v/>
      </c>
      <c r="AC51">
        <f>HYPERLINK("https://klasma.github.io/Logging_1496/tillsyn/A 29011-2023 tillsynsbegäran.docx", "A 29011-2023")</f>
        <v/>
      </c>
      <c r="AD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46291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46291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10602-2023 artfynd.xlsx", "A 10602-2023")</f>
        <v/>
      </c>
      <c r="X53">
        <f>HYPERLINK("https://klasma.github.io/Logging_1496/kartor/A 10602-2023 karta.png", "A 10602-2023")</f>
        <v/>
      </c>
      <c r="Y53">
        <f>HYPERLINK("https://klasma.github.io/Logging_1496/kartor_geotiff/A 10602-2023 georefererad karta.tif", "A 10602-2023")</f>
        <v/>
      </c>
      <c r="AA53">
        <f>HYPERLINK("https://klasma.github.io/Logging_1496/klagomål/A 10602-2023 FSC-klagomål.docx", "A 10602-2023")</f>
        <v/>
      </c>
      <c r="AB53">
        <f>HYPERLINK("https://klasma.github.io/Logging_1496/klagomålsmail/A 10602-2023 FSC-klagomål mail.docx", "A 10602-2023")</f>
        <v/>
      </c>
      <c r="AC53">
        <f>HYPERLINK("https://klasma.github.io/Logging_1496/tillsyn/A 10602-2023 tillsynsbegäran.docx", "A 10602-2023")</f>
        <v/>
      </c>
      <c r="AD53">
        <f>HYPERLINK("https://klasma.github.io/Logging_1496/tillsynsmail/A 10602-2023 tillsynsbegäran mail.docx", "A 10602-2023")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46291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46291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46291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Kransrams</t>
        </is>
      </c>
      <c r="W56">
        <f>HYPERLINK("https://klasma.github.io/Logging_1496/artfynd/A 52377-2023 artfynd.xlsx", "A 52377-2023")</f>
        <v/>
      </c>
      <c r="X56">
        <f>HYPERLINK("https://klasma.github.io/Logging_1496/kartor/A 52377-2023 karta.png", "A 52377-2023")</f>
        <v/>
      </c>
      <c r="Y56">
        <f>HYPERLINK("https://klasma.github.io/Logging_1496/kartor_geotiff/A 52377-2023 georefererad karta.tif", "A 52377-2023")</f>
        <v/>
      </c>
      <c r="AA56">
        <f>HYPERLINK("https://klasma.github.io/Logging_1496/klagomål/A 52377-2023 FSC-klagomål.docx", "A 52377-2023")</f>
        <v/>
      </c>
      <c r="AB56">
        <f>HYPERLINK("https://klasma.github.io/Logging_1496/klagomålsmail/A 52377-2023 FSC-klagomål mail.docx", "A 52377-2023")</f>
        <v/>
      </c>
      <c r="AC56">
        <f>HYPERLINK("https://klasma.github.io/Logging_1496/tillsyn/A 52377-2023 tillsynsbegäran.docx", "A 52377-2023")</f>
        <v/>
      </c>
      <c r="AD56">
        <f>HYPERLINK("https://klasma.github.io/Logging_1496/tillsynsmail/A 52377-2023 tillsynsbegäran mail.docx", "A 52377-2023")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46291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46291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46291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35919-2023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46291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Svinrot</t>
        </is>
      </c>
      <c r="W60">
        <f>HYPERLINK("https://klasma.github.io/Logging_1496/artfynd/A 35919-2023 artfynd.xlsx", "A 35919-2023")</f>
        <v/>
      </c>
      <c r="X60">
        <f>HYPERLINK("https://klasma.github.io/Logging_1496/kartor/A 35919-2023 karta.png", "A 35919-2023")</f>
        <v/>
      </c>
      <c r="Y60">
        <f>HYPERLINK("https://klasma.github.io/Logging_1496/kartor_geotiff/A 35919-2023 georefererad karta.tif", "A 35919-2023")</f>
        <v/>
      </c>
      <c r="AA60">
        <f>HYPERLINK("https://klasma.github.io/Logging_1496/klagomål/A 35919-2023 FSC-klagomål.docx", "A 35919-2023")</f>
        <v/>
      </c>
      <c r="AB60">
        <f>HYPERLINK("https://klasma.github.io/Logging_1496/klagomålsmail/A 35919-2023 FSC-klagomål mail.docx", "A 35919-2023")</f>
        <v/>
      </c>
      <c r="AC60">
        <f>HYPERLINK("https://klasma.github.io/Logging_1496/tillsyn/A 35919-2023 tillsynsbegäran.docx", "A 35919-2023")</f>
        <v/>
      </c>
      <c r="AD60">
        <f>HYPERLINK("https://klasma.github.io/Logging_1496/tillsynsmail/A 35919-2023 tillsynsbegäran mail.docx", "A 35919-2023")</f>
        <v/>
      </c>
    </row>
    <row r="61" ht="15" customHeight="1">
      <c r="A61" t="inlineStr">
        <is>
          <t>A 42904-2023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46291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Grönvit nattviol</t>
        </is>
      </c>
      <c r="W61">
        <f>HYPERLINK("https://klasma.github.io/Logging_1496/artfynd/A 42904-2023 artfynd.xlsx", "A 42904-2023")</f>
        <v/>
      </c>
      <c r="X61">
        <f>HYPERLINK("https://klasma.github.io/Logging_1496/kartor/A 42904-2023 karta.png", "A 42904-2023")</f>
        <v/>
      </c>
      <c r="Y61">
        <f>HYPERLINK("https://klasma.github.io/Logging_1496/kartor_geotiff/A 42904-2023 georefererad karta.tif", "A 42904-2023")</f>
        <v/>
      </c>
      <c r="AA61">
        <f>HYPERLINK("https://klasma.github.io/Logging_1496/klagomål/A 42904-2023 FSC-klagomål.docx", "A 42904-2023")</f>
        <v/>
      </c>
      <c r="AB61">
        <f>HYPERLINK("https://klasma.github.io/Logging_1496/klagomålsmail/A 42904-2023 FSC-klagomål mail.docx", "A 42904-2023")</f>
        <v/>
      </c>
      <c r="AC61">
        <f>HYPERLINK("https://klasma.github.io/Logging_1496/tillsyn/A 42904-2023 tillsynsbegäran.docx", "A 42904-2023")</f>
        <v/>
      </c>
      <c r="AD61">
        <f>HYPERLINK("https://klasma.github.io/Logging_1496/tillsynsmail/A 42904-2023 tillsynsbegäran mail.docx", "A 42904-2023")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46291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46291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46291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46291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46291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46291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46291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46291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46291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46291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46291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46291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46291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46291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46291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46291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46291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46291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46291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46291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46291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46291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46291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46291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46291</v>
      </c>
      <c r="F86" t="inlineStr">
        <is>
          <t>VÄSTRA GÖTALANDS LÄN</t>
        </is>
      </c>
      <c r="G86" t="inlineStr">
        <is>
          <t>SKÖVDE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46291</v>
      </c>
      <c r="F87" t="inlineStr">
        <is>
          <t>VÄSTRA GÖTALANDS LÄN</t>
        </is>
      </c>
      <c r="G87" t="inlineStr">
        <is>
          <t>SKÖVDE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46291</v>
      </c>
      <c r="F88" t="inlineStr">
        <is>
          <t>VÄSTRA GÖTALANDS LÄN</t>
        </is>
      </c>
      <c r="G88" t="inlineStr">
        <is>
          <t>SKÖVDE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34211-2023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46291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46291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45301</v>
      </c>
      <c r="E91" s="1" t="n">
        <v>46291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46291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46291</v>
      </c>
      <c r="F93" t="inlineStr">
        <is>
          <t>VÄSTRA GÖTALANDS LÄN</t>
        </is>
      </c>
      <c r="G93" t="inlineStr">
        <is>
          <t>SKÖVDE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46291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45314</v>
      </c>
      <c r="E95" s="1" t="n">
        <v>46291</v>
      </c>
      <c r="F95" t="inlineStr">
        <is>
          <t>VÄSTRA GÖTALANDS LÄN</t>
        </is>
      </c>
      <c r="G95" t="inlineStr">
        <is>
          <t>SKÖVDE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46291</v>
      </c>
      <c r="F96" t="inlineStr">
        <is>
          <t>VÄSTRA GÖTALANDS LÄN</t>
        </is>
      </c>
      <c r="G96" t="inlineStr">
        <is>
          <t>SKÖVDE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45142</v>
      </c>
      <c r="E97" s="1" t="n">
        <v>46291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46017</v>
      </c>
      <c r="E98" s="1" t="n">
        <v>46291</v>
      </c>
      <c r="F98" t="inlineStr">
        <is>
          <t>VÄSTRA GÖTALANDS LÄN</t>
        </is>
      </c>
      <c r="G98" t="inlineStr">
        <is>
          <t>SKÖVDE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46291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46291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Kyrkan</t>
        </is>
      </c>
      <c r="I100" t="n">
        <v>10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46291</v>
      </c>
      <c r="F101" t="inlineStr">
        <is>
          <t>VÄSTRA GÖTALANDS LÄN</t>
        </is>
      </c>
      <c r="G101" t="inlineStr">
        <is>
          <t>SKÖVDE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46291</v>
      </c>
      <c r="F102" t="inlineStr">
        <is>
          <t>VÄSTRA GÖTALANDS LÄN</t>
        </is>
      </c>
      <c r="G102" t="inlineStr">
        <is>
          <t>SKÖVDE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46291</v>
      </c>
      <c r="F103" t="inlineStr">
        <is>
          <t>VÄSTRA GÖTALANDS LÄN</t>
        </is>
      </c>
      <c r="G103" t="inlineStr">
        <is>
          <t>SKÖVDE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5658-2024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45334</v>
      </c>
      <c r="E104" s="1" t="n">
        <v>46291</v>
      </c>
      <c r="F104" t="inlineStr">
        <is>
          <t>VÄSTRA GÖTALANDS LÄN</t>
        </is>
      </c>
      <c r="G104" t="inlineStr">
        <is>
          <t>SKÖVDE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46291</v>
      </c>
      <c r="F105" t="inlineStr">
        <is>
          <t>VÄSTRA GÖTALANDS LÄN</t>
        </is>
      </c>
      <c r="G105" t="inlineStr">
        <is>
          <t>SKÖVDE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46291</v>
      </c>
      <c r="F106" t="inlineStr">
        <is>
          <t>VÄSTRA GÖTALANDS LÄN</t>
        </is>
      </c>
      <c r="G106" t="inlineStr">
        <is>
          <t>SKÖVDE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46291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45853</v>
      </c>
      <c r="E108" s="1" t="n">
        <v>46291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46291</v>
      </c>
      <c r="F109" t="inlineStr">
        <is>
          <t>VÄSTRA GÖTALANDS LÄN</t>
        </is>
      </c>
      <c r="G109" t="inlineStr">
        <is>
          <t>SKÖVDE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46291</v>
      </c>
      <c r="F110" t="inlineStr">
        <is>
          <t>VÄSTRA GÖTALANDS LÄN</t>
        </is>
      </c>
      <c r="G110" t="inlineStr">
        <is>
          <t>SKÖVDE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46291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46291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46291</v>
      </c>
      <c r="F113" t="inlineStr">
        <is>
          <t>VÄSTRA GÖTALANDS LÄN</t>
        </is>
      </c>
      <c r="G113" t="inlineStr">
        <is>
          <t>SKÖVDE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46291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46291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46291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46291</v>
      </c>
      <c r="F117" t="inlineStr">
        <is>
          <t>VÄSTRA GÖTALANDS LÄN</t>
        </is>
      </c>
      <c r="G117" t="inlineStr">
        <is>
          <t>SKÖVDE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47466-2024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45586</v>
      </c>
      <c r="E118" s="1" t="n">
        <v>46291</v>
      </c>
      <c r="F118" t="inlineStr">
        <is>
          <t>VÄSTRA GÖTALANDS LÄN</t>
        </is>
      </c>
      <c r="G118" t="inlineStr">
        <is>
          <t>SKÖVDE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46291</v>
      </c>
      <c r="F119" t="inlineStr">
        <is>
          <t>VÄSTRA GÖTALANDS LÄN</t>
        </is>
      </c>
      <c r="G119" t="inlineStr">
        <is>
          <t>SKÖVDE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25639-2025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45800</v>
      </c>
      <c r="E120" s="1" t="n">
        <v>46291</v>
      </c>
      <c r="F120" t="inlineStr">
        <is>
          <t>VÄSTRA GÖTALANDS LÄN</t>
        </is>
      </c>
      <c r="G120" t="inlineStr">
        <is>
          <t>SKÖVDE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46291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46052</v>
      </c>
      <c r="E122" s="1" t="n">
        <v>46291</v>
      </c>
      <c r="F122" t="inlineStr">
        <is>
          <t>VÄSTRA GÖTALANDS LÄN</t>
        </is>
      </c>
      <c r="G122" t="inlineStr">
        <is>
          <t>SKÖVDE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46051</v>
      </c>
      <c r="E123" s="1" t="n">
        <v>46291</v>
      </c>
      <c r="F123" t="inlineStr">
        <is>
          <t>VÄSTRA GÖTALANDS LÄN</t>
        </is>
      </c>
      <c r="G123" t="inlineStr">
        <is>
          <t>SKÖVDE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46291</v>
      </c>
      <c r="F124" t="inlineStr">
        <is>
          <t>VÄSTRA GÖTALANDS LÄN</t>
        </is>
      </c>
      <c r="G124" t="inlineStr">
        <is>
          <t>SKÖVDE</t>
        </is>
      </c>
      <c r="I124" t="n">
        <v>11.8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25642-2025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45803</v>
      </c>
      <c r="E125" s="1" t="n">
        <v>46291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45547</v>
      </c>
      <c r="E126" s="1" t="n">
        <v>46291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63374-2025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46291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Övriga statliga verk och myndigheter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46291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Övriga statliga verk och myndigheter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63375-2025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46291</v>
      </c>
      <c r="F129" t="inlineStr">
        <is>
          <t>VÄSTRA GÖTALANDS LÄN</t>
        </is>
      </c>
      <c r="G129" t="inlineStr">
        <is>
          <t>SKÖVDE</t>
        </is>
      </c>
      <c r="H129" t="inlineStr">
        <is>
          <t>Övriga statliga verk och myndigheter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46291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Övriga statliga verk och myndigheter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46291</v>
      </c>
      <c r="F131" t="inlineStr">
        <is>
          <t>VÄSTRA GÖTALANDS LÄN</t>
        </is>
      </c>
      <c r="G131" t="inlineStr">
        <is>
          <t>SKÖVDE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46291</v>
      </c>
      <c r="F132" t="inlineStr">
        <is>
          <t>VÄSTRA GÖTALANDS LÄN</t>
        </is>
      </c>
      <c r="G132" t="inlineStr">
        <is>
          <t>SKÖVDE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46291</v>
      </c>
      <c r="F133" t="inlineStr">
        <is>
          <t>VÄSTRA GÖTALANDS LÄN</t>
        </is>
      </c>
      <c r="G133" t="inlineStr">
        <is>
          <t>SKÖVDE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44938</v>
      </c>
      <c r="E134" s="1" t="n">
        <v>46291</v>
      </c>
      <c r="F134" t="inlineStr">
        <is>
          <t>VÄSTRA GÖTALANDS LÄN</t>
        </is>
      </c>
      <c r="G134" t="inlineStr">
        <is>
          <t>SKÖVDE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45401</v>
      </c>
      <c r="E135" s="1" t="n">
        <v>46291</v>
      </c>
      <c r="F135" t="inlineStr">
        <is>
          <t>VÄSTRA GÖTALANDS LÄN</t>
        </is>
      </c>
      <c r="G135" t="inlineStr">
        <is>
          <t>SKÖVDE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44599</v>
      </c>
      <c r="E136" s="1" t="n">
        <v>46291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Kyrkan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46291</v>
      </c>
      <c r="F137" t="inlineStr">
        <is>
          <t>VÄSTRA GÖTALANDS LÄN</t>
        </is>
      </c>
      <c r="G137" t="inlineStr">
        <is>
          <t>SKÖVDE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46291</v>
      </c>
      <c r="F138" t="inlineStr">
        <is>
          <t>VÄSTRA GÖTALANDS LÄN</t>
        </is>
      </c>
      <c r="G138" t="inlineStr">
        <is>
          <t>SKÖVDE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46291</v>
      </c>
      <c r="F139" t="inlineStr">
        <is>
          <t>VÄSTRA GÖTALANDS LÄN</t>
        </is>
      </c>
      <c r="G139" t="inlineStr">
        <is>
          <t>SKÖVDE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46291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26620-2025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45810</v>
      </c>
      <c r="E141" s="1" t="n">
        <v>46291</v>
      </c>
      <c r="F141" t="inlineStr">
        <is>
          <t>VÄSTRA GÖTALANDS LÄN</t>
        </is>
      </c>
      <c r="G141" t="inlineStr">
        <is>
          <t>SKÖVDE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45439</v>
      </c>
      <c r="E142" s="1" t="n">
        <v>46291</v>
      </c>
      <c r="F142" t="inlineStr">
        <is>
          <t>VÄSTRA GÖTALANDS LÄN</t>
        </is>
      </c>
      <c r="G142" t="inlineStr">
        <is>
          <t>SKÖVDE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46291</v>
      </c>
      <c r="F143" t="inlineStr">
        <is>
          <t>VÄSTRA GÖTALANDS LÄN</t>
        </is>
      </c>
      <c r="G143" t="inlineStr">
        <is>
          <t>SKÖVDE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48890-2025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46291</v>
      </c>
      <c r="F144" t="inlineStr">
        <is>
          <t>VÄSTRA GÖTALANDS LÄN</t>
        </is>
      </c>
      <c r="G144" t="inlineStr">
        <is>
          <t>SKÖVDE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26614-2025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46291</v>
      </c>
      <c r="F145" t="inlineStr">
        <is>
          <t>VÄSTRA GÖTALANDS LÄN</t>
        </is>
      </c>
      <c r="G145" t="inlineStr">
        <is>
          <t>SKÖVDE</t>
        </is>
      </c>
      <c r="I145" t="n">
        <v>12.3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46291</v>
      </c>
      <c r="F146" t="inlineStr">
        <is>
          <t>VÄSTRA GÖTALANDS LÄN</t>
        </is>
      </c>
      <c r="G146" t="inlineStr">
        <is>
          <t>SKÖVDE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44750</v>
      </c>
      <c r="E147" s="1" t="n">
        <v>46291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48225-2024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45590</v>
      </c>
      <c r="E148" s="1" t="n">
        <v>46291</v>
      </c>
      <c r="F148" t="inlineStr">
        <is>
          <t>VÄSTRA GÖTALANDS LÄN</t>
        </is>
      </c>
      <c r="G148" t="inlineStr">
        <is>
          <t>SKÖVDE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46291</v>
      </c>
      <c r="F149" t="inlineStr">
        <is>
          <t>VÄSTRA GÖTALANDS LÄN</t>
        </is>
      </c>
      <c r="G149" t="inlineStr">
        <is>
          <t>SKÖVDE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46291</v>
      </c>
      <c r="F150" t="inlineStr">
        <is>
          <t>VÄSTRA GÖTALANDS LÄN</t>
        </is>
      </c>
      <c r="G150" t="inlineStr">
        <is>
          <t>SKÖVDE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46291</v>
      </c>
      <c r="F151" t="inlineStr">
        <is>
          <t>VÄSTRA GÖTALANDS LÄN</t>
        </is>
      </c>
      <c r="G151" t="inlineStr">
        <is>
          <t>SKÖVDE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46291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46291</v>
      </c>
      <c r="F153" t="inlineStr">
        <is>
          <t>VÄSTRA GÖTALANDS LÄN</t>
        </is>
      </c>
      <c r="G153" t="inlineStr">
        <is>
          <t>SKÖVDE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46291</v>
      </c>
      <c r="F154" t="inlineStr">
        <is>
          <t>VÄSTRA GÖTALANDS LÄN</t>
        </is>
      </c>
      <c r="G154" t="inlineStr">
        <is>
          <t>SKÖVDE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40995-2022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46291</v>
      </c>
      <c r="F155" t="inlineStr">
        <is>
          <t>VÄSTRA GÖTALANDS LÄN</t>
        </is>
      </c>
      <c r="G155" t="inlineStr">
        <is>
          <t>SKÖVDE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23447-2023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45076</v>
      </c>
      <c r="E156" s="1" t="n">
        <v>46291</v>
      </c>
      <c r="F156" t="inlineStr">
        <is>
          <t>VÄSTRA GÖTALANDS LÄN</t>
        </is>
      </c>
      <c r="G156" t="inlineStr">
        <is>
          <t>SKÖVDE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46291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13669-2023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45006</v>
      </c>
      <c r="E158" s="1" t="n">
        <v>46291</v>
      </c>
      <c r="F158" t="inlineStr">
        <is>
          <t>VÄSTRA GÖTALANDS LÄN</t>
        </is>
      </c>
      <c r="G158" t="inlineStr">
        <is>
          <t>SKÖVDE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46291</v>
      </c>
      <c r="F159" t="inlineStr">
        <is>
          <t>VÄSTRA GÖTALANDS LÄN</t>
        </is>
      </c>
      <c r="G159" t="inlineStr">
        <is>
          <t>SKÖVDE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45002</v>
      </c>
      <c r="E160" s="1" t="n">
        <v>46291</v>
      </c>
      <c r="F160" t="inlineStr">
        <is>
          <t>VÄSTRA GÖTALANDS LÄN</t>
        </is>
      </c>
      <c r="G160" t="inlineStr">
        <is>
          <t>SKÖVDE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46291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46291</v>
      </c>
      <c r="F162" t="inlineStr">
        <is>
          <t>VÄSTRA GÖTALANDS LÄN</t>
        </is>
      </c>
      <c r="G162" t="inlineStr">
        <is>
          <t>SKÖVDE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46291</v>
      </c>
      <c r="F163" t="inlineStr">
        <is>
          <t>VÄSTRA GÖTALANDS LÄN</t>
        </is>
      </c>
      <c r="G163" t="inlineStr">
        <is>
          <t>SKÖVDE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46291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46291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46291</v>
      </c>
      <c r="F166" t="inlineStr">
        <is>
          <t>VÄSTRA GÖTALANDS LÄN</t>
        </is>
      </c>
      <c r="G166" t="inlineStr">
        <is>
          <t>SKÖVDE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46291</v>
      </c>
      <c r="F167" t="inlineStr">
        <is>
          <t>VÄSTRA GÖTALANDS LÄN</t>
        </is>
      </c>
      <c r="G167" t="inlineStr">
        <is>
          <t>SKÖVDE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46291</v>
      </c>
      <c r="F168" t="inlineStr">
        <is>
          <t>VÄSTRA GÖTALANDS LÄN</t>
        </is>
      </c>
      <c r="G168" t="inlineStr">
        <is>
          <t>SKÖVDE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46291</v>
      </c>
      <c r="F169" t="inlineStr">
        <is>
          <t>VÄSTRA GÖTALANDS LÄN</t>
        </is>
      </c>
      <c r="G169" t="inlineStr">
        <is>
          <t>SKÖVDE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46291</v>
      </c>
      <c r="F170" t="inlineStr">
        <is>
          <t>VÄSTRA GÖTALANDS LÄN</t>
        </is>
      </c>
      <c r="G170" t="inlineStr">
        <is>
          <t>SKÖVDE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46291</v>
      </c>
      <c r="F171" t="inlineStr">
        <is>
          <t>VÄSTRA GÖTALANDS LÄN</t>
        </is>
      </c>
      <c r="G171" t="inlineStr">
        <is>
          <t>SKÖVDE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46291</v>
      </c>
      <c r="F172" t="inlineStr">
        <is>
          <t>VÄSTRA GÖTALANDS LÄN</t>
        </is>
      </c>
      <c r="G172" t="inlineStr">
        <is>
          <t>SKÖVDE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46291</v>
      </c>
      <c r="F173" t="inlineStr">
        <is>
          <t>VÄSTRA GÖTALANDS LÄN</t>
        </is>
      </c>
      <c r="G173" t="inlineStr">
        <is>
          <t>SKÖVDE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46291</v>
      </c>
      <c r="F174" t="inlineStr">
        <is>
          <t>VÄSTRA GÖTALANDS LÄN</t>
        </is>
      </c>
      <c r="G174" t="inlineStr">
        <is>
          <t>SKÖVDE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45201</v>
      </c>
      <c r="E175" s="1" t="n">
        <v>46291</v>
      </c>
      <c r="F175" t="inlineStr">
        <is>
          <t>VÄSTRA GÖTALANDS LÄN</t>
        </is>
      </c>
      <c r="G175" t="inlineStr">
        <is>
          <t>SKÖVDE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46291</v>
      </c>
      <c r="F176" t="inlineStr">
        <is>
          <t>VÄSTRA GÖTALANDS LÄN</t>
        </is>
      </c>
      <c r="G176" t="inlineStr">
        <is>
          <t>SKÖVDE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46291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Kommuner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46291</v>
      </c>
      <c r="F178" t="inlineStr">
        <is>
          <t>VÄSTRA GÖTALANDS LÄN</t>
        </is>
      </c>
      <c r="G178" t="inlineStr">
        <is>
          <t>SKÖVDE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29012-2025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45821</v>
      </c>
      <c r="E179" s="1" t="n">
        <v>46291</v>
      </c>
      <c r="F179" t="inlineStr">
        <is>
          <t>VÄSTRA GÖTALANDS LÄN</t>
        </is>
      </c>
      <c r="G179" t="inlineStr">
        <is>
          <t>SKÖVDE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45376</v>
      </c>
      <c r="E180" s="1" t="n">
        <v>46291</v>
      </c>
      <c r="F180" t="inlineStr">
        <is>
          <t>VÄSTRA GÖTALANDS LÄN</t>
        </is>
      </c>
      <c r="G180" t="inlineStr">
        <is>
          <t>SKÖVDE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46291</v>
      </c>
      <c r="F181" t="inlineStr">
        <is>
          <t>VÄSTRA GÖTALANDS LÄN</t>
        </is>
      </c>
      <c r="G181" t="inlineStr">
        <is>
          <t>SKÖVDE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46291</v>
      </c>
      <c r="F182" t="inlineStr">
        <is>
          <t>VÄSTRA GÖTALANDS LÄN</t>
        </is>
      </c>
      <c r="G182" t="inlineStr">
        <is>
          <t>SKÖVDE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45685</v>
      </c>
      <c r="E183" s="1" t="n">
        <v>46291</v>
      </c>
      <c r="F183" t="inlineStr">
        <is>
          <t>VÄSTRA GÖTALANDS LÄN</t>
        </is>
      </c>
      <c r="G183" t="inlineStr">
        <is>
          <t>SKÖVDE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46291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Kommuner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46291</v>
      </c>
      <c r="F185" t="inlineStr">
        <is>
          <t>VÄSTRA GÖTALANDS LÄN</t>
        </is>
      </c>
      <c r="G185" t="inlineStr">
        <is>
          <t>SKÖVDE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46291</v>
      </c>
      <c r="F186" t="inlineStr">
        <is>
          <t>VÄSTRA GÖTALANDS LÄN</t>
        </is>
      </c>
      <c r="G186" t="inlineStr">
        <is>
          <t>SKÖVDE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46291</v>
      </c>
      <c r="F187" t="inlineStr">
        <is>
          <t>VÄSTRA GÖTALANDS LÄN</t>
        </is>
      </c>
      <c r="G187" t="inlineStr">
        <is>
          <t>SKÖVDE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46291</v>
      </c>
      <c r="F188" t="inlineStr">
        <is>
          <t>VÄSTRA GÖTALANDS LÄN</t>
        </is>
      </c>
      <c r="G188" t="inlineStr">
        <is>
          <t>SKÖVDE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45259</v>
      </c>
      <c r="E189" s="1" t="n">
        <v>46291</v>
      </c>
      <c r="F189" t="inlineStr">
        <is>
          <t>VÄSTRA GÖTALANDS LÄN</t>
        </is>
      </c>
      <c r="G189" t="inlineStr">
        <is>
          <t>SKÖVDE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46139</v>
      </c>
      <c r="E190" s="1" t="n">
        <v>46291</v>
      </c>
      <c r="F190" t="inlineStr">
        <is>
          <t>VÄSTRA GÖTALANDS LÄN</t>
        </is>
      </c>
      <c r="G190" t="inlineStr">
        <is>
          <t>SKÖVDE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44804</v>
      </c>
      <c r="E191" s="1" t="n">
        <v>46291</v>
      </c>
      <c r="F191" t="inlineStr">
        <is>
          <t>VÄSTRA GÖTALANDS LÄN</t>
        </is>
      </c>
      <c r="G191" t="inlineStr">
        <is>
          <t>SKÖVDE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45267</v>
      </c>
      <c r="E192" s="1" t="n">
        <v>46291</v>
      </c>
      <c r="F192" t="inlineStr">
        <is>
          <t>VÄSTRA GÖTALANDS LÄN</t>
        </is>
      </c>
      <c r="G192" t="inlineStr">
        <is>
          <t>SKÖVDE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46291</v>
      </c>
      <c r="F193" t="inlineStr">
        <is>
          <t>VÄSTRA GÖTALANDS LÄN</t>
        </is>
      </c>
      <c r="G193" t="inlineStr">
        <is>
          <t>SKÖVDE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46291</v>
      </c>
      <c r="F194" t="inlineStr">
        <is>
          <t>VÄSTRA GÖTALANDS LÄN</t>
        </is>
      </c>
      <c r="G194" t="inlineStr">
        <is>
          <t>SKÖVDE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46291</v>
      </c>
      <c r="F195" t="inlineStr">
        <is>
          <t>VÄSTRA GÖTALANDS LÄN</t>
        </is>
      </c>
      <c r="G195" t="inlineStr">
        <is>
          <t>SKÖVDE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45846</v>
      </c>
      <c r="E196" s="1" t="n">
        <v>46291</v>
      </c>
      <c r="F196" t="inlineStr">
        <is>
          <t>VÄSTRA GÖTALANDS LÄN</t>
        </is>
      </c>
      <c r="G196" t="inlineStr">
        <is>
          <t>SKÖVDE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2901-2026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46038</v>
      </c>
      <c r="E197" s="1" t="n">
        <v>46291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46291</v>
      </c>
      <c r="F198" t="inlineStr">
        <is>
          <t>VÄSTRA GÖTALANDS LÄN</t>
        </is>
      </c>
      <c r="G198" t="inlineStr">
        <is>
          <t>SKÖVDE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45769</v>
      </c>
      <c r="E199" s="1" t="n">
        <v>46291</v>
      </c>
      <c r="F199" t="inlineStr">
        <is>
          <t>VÄSTRA GÖTALANDS LÄN</t>
        </is>
      </c>
      <c r="G199" t="inlineStr">
        <is>
          <t>SKÖVDE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46291</v>
      </c>
      <c r="F200" t="inlineStr">
        <is>
          <t>VÄSTRA GÖTALANDS LÄN</t>
        </is>
      </c>
      <c r="G200" t="inlineStr">
        <is>
          <t>SKÖVDE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44959</v>
      </c>
      <c r="E201" s="1" t="n">
        <v>46291</v>
      </c>
      <c r="F201" t="inlineStr">
        <is>
          <t>VÄSTRA GÖTALANDS LÄN</t>
        </is>
      </c>
      <c r="G201" t="inlineStr">
        <is>
          <t>SKÖVDE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17798-2024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45418</v>
      </c>
      <c r="E202" s="1" t="n">
        <v>46291</v>
      </c>
      <c r="F202" t="inlineStr">
        <is>
          <t>VÄSTRA GÖTALANDS LÄN</t>
        </is>
      </c>
      <c r="G202" t="inlineStr">
        <is>
          <t>SKÖVDE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45693</v>
      </c>
      <c r="E203" s="1" t="n">
        <v>46291</v>
      </c>
      <c r="F203" t="inlineStr">
        <is>
          <t>VÄSTRA GÖTALANDS LÄN</t>
        </is>
      </c>
      <c r="G203" t="inlineStr">
        <is>
          <t>SKÖVDE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45306</v>
      </c>
      <c r="E204" s="1" t="n">
        <v>46291</v>
      </c>
      <c r="F204" t="inlineStr">
        <is>
          <t>VÄSTRA GÖTALANDS LÄN</t>
        </is>
      </c>
      <c r="G204" t="inlineStr">
        <is>
          <t>SKÖVDE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46291</v>
      </c>
      <c r="F205" t="inlineStr">
        <is>
          <t>VÄSTRA GÖTALANDS LÄN</t>
        </is>
      </c>
      <c r="G205" t="inlineStr">
        <is>
          <t>SKÖVDE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46291</v>
      </c>
      <c r="F206" t="inlineStr">
        <is>
          <t>VÄSTRA GÖTALANDS LÄN</t>
        </is>
      </c>
      <c r="G206" t="inlineStr">
        <is>
          <t>SKÖVDE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26914-2026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46185</v>
      </c>
      <c r="E207" s="1" t="n">
        <v>46291</v>
      </c>
      <c r="F207" t="inlineStr">
        <is>
          <t>VÄSTRA GÖTALANDS LÄN</t>
        </is>
      </c>
      <c r="G207" t="inlineStr">
        <is>
          <t>SKÖVDE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46291</v>
      </c>
      <c r="F208" t="inlineStr">
        <is>
          <t>VÄSTRA GÖTALANDS LÄN</t>
        </is>
      </c>
      <c r="G208" t="inlineStr">
        <is>
          <t>SKÖVDE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46291</v>
      </c>
      <c r="F209" t="inlineStr">
        <is>
          <t>VÄSTRA GÖTALANDS LÄN</t>
        </is>
      </c>
      <c r="G209" t="inlineStr">
        <is>
          <t>SKÖVDE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45560</v>
      </c>
      <c r="E210" s="1" t="n">
        <v>46291</v>
      </c>
      <c r="F210" t="inlineStr">
        <is>
          <t>VÄSTRA GÖTALANDS LÄN</t>
        </is>
      </c>
      <c r="G210" t="inlineStr">
        <is>
          <t>SKÖVDE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46202</v>
      </c>
      <c r="E211" s="1" t="n">
        <v>46291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46291</v>
      </c>
      <c r="F212" t="inlineStr">
        <is>
          <t>VÄSTRA GÖTALANDS LÄN</t>
        </is>
      </c>
      <c r="G212" t="inlineStr">
        <is>
          <t>SKÖVDE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45230</v>
      </c>
      <c r="E213" s="1" t="n">
        <v>46291</v>
      </c>
      <c r="F213" t="inlineStr">
        <is>
          <t>VÄSTRA GÖTALANDS LÄN</t>
        </is>
      </c>
      <c r="G213" t="inlineStr">
        <is>
          <t>SKÖVDE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46291</v>
      </c>
      <c r="F214" t="inlineStr">
        <is>
          <t>VÄSTRA GÖTALANDS LÄN</t>
        </is>
      </c>
      <c r="G214" t="inlineStr">
        <is>
          <t>SKÖVDE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46291</v>
      </c>
      <c r="F215" t="inlineStr">
        <is>
          <t>VÄSTRA GÖTALANDS LÄN</t>
        </is>
      </c>
      <c r="G215" t="inlineStr">
        <is>
          <t>SKÖVDE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46291</v>
      </c>
      <c r="F216" t="inlineStr">
        <is>
          <t>VÄSTRA GÖTALANDS LÄN</t>
        </is>
      </c>
      <c r="G216" t="inlineStr">
        <is>
          <t>SKÖVDE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12942-2024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46291</v>
      </c>
      <c r="F217" t="inlineStr">
        <is>
          <t>VÄSTRA GÖTALANDS LÄN</t>
        </is>
      </c>
      <c r="G217" t="inlineStr">
        <is>
          <t>SKÖVDE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46291</v>
      </c>
      <c r="F218" t="inlineStr">
        <is>
          <t>VÄSTRA GÖTALANDS LÄN</t>
        </is>
      </c>
      <c r="G218" t="inlineStr">
        <is>
          <t>SKÖVDE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46291</v>
      </c>
      <c r="F219" t="inlineStr">
        <is>
          <t>VÄSTRA GÖTALANDS LÄN</t>
        </is>
      </c>
      <c r="G219" t="inlineStr">
        <is>
          <t>SKÖVDE</t>
        </is>
      </c>
      <c r="H219" t="inlineStr">
        <is>
          <t>Kommuner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46291</v>
      </c>
      <c r="F220" t="inlineStr">
        <is>
          <t>VÄSTRA GÖTALANDS LÄN</t>
        </is>
      </c>
      <c r="G220" t="inlineStr">
        <is>
          <t>SKÖVDE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45134</v>
      </c>
      <c r="E221" s="1" t="n">
        <v>46291</v>
      </c>
      <c r="F221" t="inlineStr">
        <is>
          <t>VÄSTRA GÖTALANDS LÄN</t>
        </is>
      </c>
      <c r="G221" t="inlineStr">
        <is>
          <t>SKÖVDE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45694</v>
      </c>
      <c r="E222" s="1" t="n">
        <v>46291</v>
      </c>
      <c r="F222" t="inlineStr">
        <is>
          <t>VÄSTRA GÖTALANDS LÄN</t>
        </is>
      </c>
      <c r="G222" t="inlineStr">
        <is>
          <t>SKÖVDE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46272</v>
      </c>
      <c r="E223" s="1" t="n">
        <v>46291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46269</v>
      </c>
      <c r="E224" s="1" t="n">
        <v>46291</v>
      </c>
      <c r="F224" t="inlineStr">
        <is>
          <t>VÄSTRA GÖTALANDS LÄN</t>
        </is>
      </c>
      <c r="G224" t="inlineStr">
        <is>
          <t>SKÖVDE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45211</v>
      </c>
      <c r="E225" s="1" t="n">
        <v>46291</v>
      </c>
      <c r="F225" t="inlineStr">
        <is>
          <t>VÄSTRA GÖTALANDS LÄN</t>
        </is>
      </c>
      <c r="G225" t="inlineStr">
        <is>
          <t>SKÖVDE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44586</v>
      </c>
      <c r="E226" s="1" t="n">
        <v>46291</v>
      </c>
      <c r="F226" t="inlineStr">
        <is>
          <t>VÄSTRA GÖTALANDS LÄN</t>
        </is>
      </c>
      <c r="G226" t="inlineStr">
        <is>
          <t>SKÖVDE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45301</v>
      </c>
      <c r="E227" s="1" t="n">
        <v>46291</v>
      </c>
      <c r="F227" t="inlineStr">
        <is>
          <t>VÄSTRA GÖTALANDS LÄN</t>
        </is>
      </c>
      <c r="G227" t="inlineStr">
        <is>
          <t>SKÖVDE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46291</v>
      </c>
      <c r="F228" t="inlineStr">
        <is>
          <t>VÄSTRA GÖTALANDS LÄN</t>
        </is>
      </c>
      <c r="G228" t="inlineStr">
        <is>
          <t>SKÖVDE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12162-2022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44636</v>
      </c>
      <c r="E229" s="1" t="n">
        <v>46291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46291</v>
      </c>
      <c r="F230" t="inlineStr">
        <is>
          <t>VÄSTRA GÖTALANDS LÄN</t>
        </is>
      </c>
      <c r="G230" t="inlineStr">
        <is>
          <t>SKÖVDE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38539-2026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46291</v>
      </c>
      <c r="F231" t="inlineStr">
        <is>
          <t>VÄSTRA GÖTALANDS LÄN</t>
        </is>
      </c>
      <c r="G231" t="inlineStr">
        <is>
          <t>SKÖVDE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45636</v>
      </c>
      <c r="E232" s="1" t="n">
        <v>46291</v>
      </c>
      <c r="F232" t="inlineStr">
        <is>
          <t>VÄSTRA GÖTALANDS LÄN</t>
        </is>
      </c>
      <c r="G232" t="inlineStr">
        <is>
          <t>SKÖVDE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44601</v>
      </c>
      <c r="E233" s="1" t="n">
        <v>46291</v>
      </c>
      <c r="F233" t="inlineStr">
        <is>
          <t>VÄSTRA GÖTALANDS LÄN</t>
        </is>
      </c>
      <c r="G233" t="inlineStr">
        <is>
          <t>SKÖVDE</t>
        </is>
      </c>
      <c r="H233" t="inlineStr">
        <is>
          <t>Kommuner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44963</v>
      </c>
      <c r="E234" s="1" t="n">
        <v>46291</v>
      </c>
      <c r="F234" t="inlineStr">
        <is>
          <t>VÄSTRA GÖTALANDS LÄN</t>
        </is>
      </c>
      <c r="G234" t="inlineStr">
        <is>
          <t>SKÖVDE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46291</v>
      </c>
      <c r="F235" t="inlineStr">
        <is>
          <t>VÄSTRA GÖTALANDS LÄN</t>
        </is>
      </c>
      <c r="G235" t="inlineStr">
        <is>
          <t>SKÖVDE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46288</v>
      </c>
      <c r="E236" s="1" t="n">
        <v>46291</v>
      </c>
      <c r="F236" t="inlineStr">
        <is>
          <t>VÄSTRA GÖTALANDS LÄN</t>
        </is>
      </c>
      <c r="G236" t="inlineStr">
        <is>
          <t>SKÖVDE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45013</v>
      </c>
      <c r="E237" s="1" t="n">
        <v>46291</v>
      </c>
      <c r="F237" t="inlineStr">
        <is>
          <t>VÄSTRA GÖTALANDS LÄN</t>
        </is>
      </c>
      <c r="G237" t="inlineStr">
        <is>
          <t>SKÖVDE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67134-2021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44523</v>
      </c>
      <c r="E238" s="1" t="n">
        <v>46291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45105</v>
      </c>
      <c r="E239" s="1" t="n">
        <v>46291</v>
      </c>
      <c r="F239" t="inlineStr">
        <is>
          <t>VÄSTRA GÖTALANDS LÄN</t>
        </is>
      </c>
      <c r="G239" t="inlineStr">
        <is>
          <t>SKÖVDE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46291</v>
      </c>
      <c r="F240" t="inlineStr">
        <is>
          <t>VÄSTRA GÖTALANDS LÄN</t>
        </is>
      </c>
      <c r="G240" t="inlineStr">
        <is>
          <t>SKÖVDE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45086</v>
      </c>
      <c r="E241" s="1" t="n">
        <v>46291</v>
      </c>
      <c r="F241" t="inlineStr">
        <is>
          <t>VÄSTRA GÖTALANDS LÄN</t>
        </is>
      </c>
      <c r="G241" t="inlineStr">
        <is>
          <t>SKÖVDE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44495</v>
      </c>
      <c r="E242" s="1" t="n">
        <v>46291</v>
      </c>
      <c r="F242" t="inlineStr">
        <is>
          <t>VÄSTRA GÖTALANDS LÄN</t>
        </is>
      </c>
      <c r="G242" t="inlineStr">
        <is>
          <t>SKÖVDE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35280-2024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45530</v>
      </c>
      <c r="E243" s="1" t="n">
        <v>46291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46291</v>
      </c>
      <c r="F244" t="inlineStr">
        <is>
          <t>VÄSTRA GÖTALANDS LÄN</t>
        </is>
      </c>
      <c r="G244" t="inlineStr">
        <is>
          <t>SKÖVDE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46291</v>
      </c>
      <c r="F245" t="inlineStr">
        <is>
          <t>VÄSTRA GÖTALANDS LÄN</t>
        </is>
      </c>
      <c r="G245" t="inlineStr">
        <is>
          <t>SKÖVDE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45197</v>
      </c>
      <c r="E246" s="1" t="n">
        <v>46291</v>
      </c>
      <c r="F246" t="inlineStr">
        <is>
          <t>VÄSTRA GÖTALANDS LÄN</t>
        </is>
      </c>
      <c r="G246" t="inlineStr">
        <is>
          <t>SKÖVDE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45687</v>
      </c>
      <c r="E247" s="1" t="n">
        <v>46291</v>
      </c>
      <c r="F247" t="inlineStr">
        <is>
          <t>VÄSTRA GÖTALANDS LÄN</t>
        </is>
      </c>
      <c r="G247" t="inlineStr">
        <is>
          <t>SKÖVDE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49954-2023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46291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46291</v>
      </c>
      <c r="F249" t="inlineStr">
        <is>
          <t>VÄSTRA GÖTALANDS LÄN</t>
        </is>
      </c>
      <c r="G249" t="inlineStr">
        <is>
          <t>SKÖVDE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46291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45082</v>
      </c>
      <c r="E251" s="1" t="n">
        <v>46291</v>
      </c>
      <c r="F251" t="inlineStr">
        <is>
          <t>VÄSTRA GÖTALANDS LÄN</t>
        </is>
      </c>
      <c r="G251" t="inlineStr">
        <is>
          <t>SKÖVDE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46291</v>
      </c>
      <c r="F252" t="inlineStr">
        <is>
          <t>VÄSTRA GÖTALANDS LÄN</t>
        </is>
      </c>
      <c r="G252" t="inlineStr">
        <is>
          <t>SKÖVDE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46291</v>
      </c>
      <c r="F253" t="inlineStr">
        <is>
          <t>VÄSTRA GÖTALANDS LÄN</t>
        </is>
      </c>
      <c r="G253" t="inlineStr">
        <is>
          <t>SKÖVDE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60588-2023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45259</v>
      </c>
      <c r="E254" s="1" t="n">
        <v>46291</v>
      </c>
      <c r="F254" t="inlineStr">
        <is>
          <t>VÄSTRA GÖTALANDS LÄN</t>
        </is>
      </c>
      <c r="G254" t="inlineStr">
        <is>
          <t>SKÖVDE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45775</v>
      </c>
      <c r="E255" s="1" t="n">
        <v>46291</v>
      </c>
      <c r="F255" t="inlineStr">
        <is>
          <t>VÄSTRA GÖTALANDS LÄN</t>
        </is>
      </c>
      <c r="G255" t="inlineStr">
        <is>
          <t>SKÖVDE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46291</v>
      </c>
      <c r="F256" t="inlineStr">
        <is>
          <t>VÄSTRA GÖTALANDS LÄN</t>
        </is>
      </c>
      <c r="G256" t="inlineStr">
        <is>
          <t>SKÖVDE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45710</v>
      </c>
      <c r="E257" s="1" t="n">
        <v>46291</v>
      </c>
      <c r="F257" t="inlineStr">
        <is>
          <t>VÄSTRA GÖTALANDS LÄN</t>
        </is>
      </c>
      <c r="G257" t="inlineStr">
        <is>
          <t>SKÖVDE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46291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46291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46291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46291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2026-09-26T02:04:44Z</dcterms:created>
  <dcterms:modified xmlns:dcterms="http://purl.org/dc/terms/" xmlns:xsi="http://www.w3.org/2001/XMLSchema-instance" xsi:type="dcterms:W3CDTF">2026-09-26T02:04:44Z</dcterms:modified>
</cp:coreProperties>
</file>