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46311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t="n">
        <v>11</v>
      </c>
      <c r="V5" s="2" t="inlineStr">
        <is>
          <t>Ask
Tistelsnyltrot
Klasefibbla
Sommarfibbla
Svinrot
Tvåblad</t>
        </is>
      </c>
      <c r="W5">
        <f>HYPERLINK("https://klasma.github.io/Logging_1496/artfynd/A 60176-2021 artfynd.xlsx", "A 60176-2021")</f>
        <v/>
      </c>
      <c r="X5">
        <f>HYPERLINK("https://klasma.github.io/Logging_1496/kartor/A 60176-2021 karta.png", "A 60176-2021")</f>
        <v/>
      </c>
      <c r="Y5">
        <f>HYPERLINK("https://klasma.github.io/Logging_1496/kartor_geotiff/A 60176-2021 georefererad karta.tif", "A 60176-2021")</f>
        <v/>
      </c>
      <c r="AA5">
        <f>HYPERLINK("https://klasma.github.io/Logging_1496/klagomål/A 60176-2021 FSC-klagomål.docx", "A 60176-2021")</f>
        <v/>
      </c>
      <c r="AB5">
        <f>HYPERLINK("https://klasma.github.io/Logging_1496/klagomålsmail/A 60176-2021 FSC-klagomål mail.docx", "A 60176-2021")</f>
        <v/>
      </c>
      <c r="AC5">
        <f>HYPERLINK("https://klasma.github.io/Logging_1496/tillsyn/A 60176-2021 tillsynsbegäran.docx", "A 60176-2021")</f>
        <v/>
      </c>
      <c r="AD5">
        <f>HYPERLINK("https://klasma.github.io/Logging_1496/tillsynsmail/A 60176-2021 tillsynsbegäran mail.docx", "A 60176-2021")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14860-2025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45743</v>
      </c>
      <c r="E7" s="1" t="n">
        <v>46311</v>
      </c>
      <c r="F7" t="inlineStr">
        <is>
          <t>VÄSTRA GÖTALANDS LÄN</t>
        </is>
      </c>
      <c r="G7" t="inlineStr">
        <is>
          <t>SKÖVDE</t>
        </is>
      </c>
      <c r="I7" t="n">
        <v>4.5</v>
      </c>
      <c r="J7" t="n">
        <v>2</v>
      </c>
      <c r="K7" t="n">
        <v>3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7</v>
      </c>
      <c r="U7" t="n">
        <v>2</v>
      </c>
      <c r="V7" s="2" t="inlineStr">
        <is>
          <t>Almrostöra
Skogsalm
Hasselticka
Nästrot
Rävticka
Havsörn</t>
        </is>
      </c>
      <c r="W7">
        <f>HYPERLINK("https://klasma.github.io/Logging_1496/artfynd/A 14860-2025 artfynd.xlsx", "A 14860-2025")</f>
        <v/>
      </c>
      <c r="X7">
        <f>HYPERLINK("https://klasma.github.io/Logging_1496/kartor/A 14860-2025 karta.png", "A 14860-2025")</f>
        <v/>
      </c>
      <c r="Y7">
        <f>HYPERLINK("https://klasma.github.io/Logging_1496/kartor_geotiff/A 14860-2025 georefererad karta.tif", "A 14860-2025")</f>
        <v/>
      </c>
      <c r="AA7">
        <f>HYPERLINK("https://klasma.github.io/Logging_1496/klagomål/A 14860-2025 FSC-klagomål.docx", "A 14860-2025")</f>
        <v/>
      </c>
      <c r="AB7">
        <f>HYPERLINK("https://klasma.github.io/Logging_1496/klagomålsmail/A 14860-2025 FSC-klagomål mail.docx", "A 14860-2025")</f>
        <v/>
      </c>
      <c r="AC7">
        <f>HYPERLINK("https://klasma.github.io/Logging_1496/tillsyn/A 14860-2025 tillsynsbegäran.docx", "A 14860-2025")</f>
        <v/>
      </c>
      <c r="AD7">
        <f>HYPERLINK("https://klasma.github.io/Logging_1496/tillsynsmail/A 14860-2025 tillsynsbegäran mail.docx", "A 14860-2025")</f>
        <v/>
      </c>
      <c r="AE7">
        <f>HYPERLINK("https://klasma.github.io/Logging_1496/fåglar/A 14860-2025 prioriterade fågelarter.docx", "A 14860-2025")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46311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46311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46311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46311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46311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46311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46311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46311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46311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29335-2025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46311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Svinrot
Fläcknycklar
Lopplummer (aggregat)</t>
        </is>
      </c>
      <c r="W18">
        <f>HYPERLINK("https://klasma.github.io/Logging_1496/artfynd/A 29335-2025 artfynd.xlsx", "A 29335-2025")</f>
        <v/>
      </c>
      <c r="X18">
        <f>HYPERLINK("https://klasma.github.io/Logging_1496/kartor/A 29335-2025 karta.png", "A 29335-2025")</f>
        <v/>
      </c>
      <c r="Y18">
        <f>HYPERLINK("https://klasma.github.io/Logging_1496/kartor_geotiff/A 29335-2025 georefererad karta.tif", "A 29335-2025")</f>
        <v/>
      </c>
      <c r="AA18">
        <f>HYPERLINK("https://klasma.github.io/Logging_1496/klagomål/A 29335-2025 FSC-klagomål.docx", "A 29335-2025")</f>
        <v/>
      </c>
      <c r="AB18">
        <f>HYPERLINK("https://klasma.github.io/Logging_1496/klagomålsmail/A 29335-2025 FSC-klagomål mail.docx", "A 29335-2025")</f>
        <v/>
      </c>
      <c r="AC18">
        <f>HYPERLINK("https://klasma.github.io/Logging_1496/tillsyn/A 29335-2025 tillsynsbegäran.docx", "A 29335-2025")</f>
        <v/>
      </c>
      <c r="AD18">
        <f>HYPERLINK("https://klasma.github.io/Logging_1496/tillsynsmail/A 29335-2025 tillsynsbegäran mail.docx", "A 29335-2025")</f>
        <v/>
      </c>
    </row>
    <row r="19" ht="15" customHeight="1">
      <c r="A19" t="inlineStr">
        <is>
          <t>A 2579-2023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46311</v>
      </c>
      <c r="F19" t="inlineStr">
        <is>
          <t>VÄSTRA GÖTALANDS LÄN</t>
        </is>
      </c>
      <c r="G19" t="inlineStr">
        <is>
          <t>SKÖVDE</t>
        </is>
      </c>
      <c r="I19" t="n">
        <v>5.3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Skogsknipprot
Svart trolldruva
Fläcknycklar</t>
        </is>
      </c>
      <c r="W19">
        <f>HYPERLINK("https://klasma.github.io/Logging_1496/artfynd/A 2579-2023 artfynd.xlsx", "A 2579-2023")</f>
        <v/>
      </c>
      <c r="X19">
        <f>HYPERLINK("https://klasma.github.io/Logging_1496/kartor/A 2579-2023 karta.png", "A 2579-2023")</f>
        <v/>
      </c>
      <c r="Y19">
        <f>HYPERLINK("https://klasma.github.io/Logging_1496/kartor_geotiff/A 2579-2023 georefererad karta.tif", "A 2579-2023")</f>
        <v/>
      </c>
      <c r="AA19">
        <f>HYPERLINK("https://klasma.github.io/Logging_1496/klagomål/A 2579-2023 FSC-klagomål.docx", "A 2579-2023")</f>
        <v/>
      </c>
      <c r="AB19">
        <f>HYPERLINK("https://klasma.github.io/Logging_1496/klagomålsmail/A 2579-2023 FSC-klagomål mail.docx", "A 2579-2023")</f>
        <v/>
      </c>
      <c r="AC19">
        <f>HYPERLINK("https://klasma.github.io/Logging_1496/tillsyn/A 2579-2023 tillsynsbegäran.docx", "A 2579-2023")</f>
        <v/>
      </c>
      <c r="AD19">
        <f>HYPERLINK("https://klasma.github.io/Logging_1496/tillsynsmail/A 2579-2023 tillsynsbegäran mail.docx", "A 2579-2023")</f>
        <v/>
      </c>
    </row>
    <row r="20" ht="15" customHeight="1">
      <c r="A20" t="inlineStr">
        <is>
          <t>A 43859-2022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44837</v>
      </c>
      <c r="E20" s="1" t="n">
        <v>46311</v>
      </c>
      <c r="F20" t="inlineStr">
        <is>
          <t>VÄSTRA GÖTALANDS LÄN</t>
        </is>
      </c>
      <c r="G20" t="inlineStr">
        <is>
          <t>SKÖVDE</t>
        </is>
      </c>
      <c r="I20" t="n">
        <v>1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Gullklöver
Strandlummer
Mattlummer</t>
        </is>
      </c>
      <c r="W20">
        <f>HYPERLINK("https://klasma.github.io/Logging_1496/artfynd/A 43859-2022 artfynd.xlsx", "A 43859-2022")</f>
        <v/>
      </c>
      <c r="X20">
        <f>HYPERLINK("https://klasma.github.io/Logging_1496/kartor/A 43859-2022 karta.png", "A 43859-2022")</f>
        <v/>
      </c>
      <c r="Y20">
        <f>HYPERLINK("https://klasma.github.io/Logging_1496/kartor_geotiff/A 43859-2022 georefererad karta.tif", "A 43859-2022")</f>
        <v/>
      </c>
      <c r="AA20">
        <f>HYPERLINK("https://klasma.github.io/Logging_1496/klagomål/A 43859-2022 FSC-klagomål.docx", "A 43859-2022")</f>
        <v/>
      </c>
      <c r="AB20">
        <f>HYPERLINK("https://klasma.github.io/Logging_1496/klagomålsmail/A 43859-2022 FSC-klagomål mail.docx", "A 43859-2022")</f>
        <v/>
      </c>
      <c r="AC20">
        <f>HYPERLINK("https://klasma.github.io/Logging_1496/tillsyn/A 43859-2022 tillsynsbegäran.docx", "A 43859-2022")</f>
        <v/>
      </c>
      <c r="AD20">
        <f>HYPERLINK("https://klasma.github.io/Logging_1496/tillsynsmail/A 43859-2022 tillsynsbegäran mail.docx", "A 43859-2022")</f>
        <v/>
      </c>
    </row>
    <row r="21" ht="15" customHeight="1">
      <c r="A21" t="inlineStr">
        <is>
          <t>A 36627-2022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44804</v>
      </c>
      <c r="E21" s="1" t="n">
        <v>46311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Skogsalm
Myskbock
Kråka</t>
        </is>
      </c>
      <c r="W21">
        <f>HYPERLINK("https://klasma.github.io/Logging_1496/artfynd/A 36627-2022 artfynd.xlsx", "A 36627-2022")</f>
        <v/>
      </c>
      <c r="X21">
        <f>HYPERLINK("https://klasma.github.io/Logging_1496/kartor/A 36627-2022 karta.png", "A 36627-2022")</f>
        <v/>
      </c>
      <c r="Y21">
        <f>HYPERLINK("https://klasma.github.io/Logging_1496/kartor_geotiff/A 36627-2022 georefererad karta.tif", "A 36627-2022")</f>
        <v/>
      </c>
      <c r="AA21">
        <f>HYPERLINK("https://klasma.github.io/Logging_1496/klagomål/A 36627-2022 FSC-klagomål.docx", "A 36627-2022")</f>
        <v/>
      </c>
      <c r="AB21">
        <f>HYPERLINK("https://klasma.github.io/Logging_1496/klagomålsmail/A 36627-2022 FSC-klagomål mail.docx", "A 36627-2022")</f>
        <v/>
      </c>
      <c r="AC21">
        <f>HYPERLINK("https://klasma.github.io/Logging_1496/tillsyn/A 36627-2022 tillsynsbegäran.docx", "A 36627-2022")</f>
        <v/>
      </c>
      <c r="AD21">
        <f>HYPERLINK("https://klasma.github.io/Logging_1496/tillsynsmail/A 36627-2022 tillsynsbegäran mail.docx", "A 36627-2022")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46311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46311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46311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46311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39624-2026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46311</v>
      </c>
      <c r="F26" t="inlineStr">
        <is>
          <t>VÄSTRA GÖTALANDS LÄN</t>
        </is>
      </c>
      <c r="G26" t="inlineStr">
        <is>
          <t>SKÖVDE</t>
        </is>
      </c>
      <c r="I26" t="n">
        <v>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Skogsbräsma
Grönvit nattviol</t>
        </is>
      </c>
      <c r="W26">
        <f>HYPERLINK("https://klasma.github.io/Logging_1496/artfynd/A 39624-2026 artfynd.xlsx", "A 39624-2026")</f>
        <v/>
      </c>
      <c r="X26">
        <f>HYPERLINK("https://klasma.github.io/Logging_1496/kartor/A 39624-2026 karta.png", "A 39624-2026")</f>
        <v/>
      </c>
      <c r="Y26">
        <f>HYPERLINK("https://klasma.github.io/Logging_1496/kartor_geotiff/A 39624-2026 georefererad karta.tif", "A 39624-2026")</f>
        <v/>
      </c>
      <c r="AA26">
        <f>HYPERLINK("https://klasma.github.io/Logging_1496/klagomål/A 39624-2026 FSC-klagomål.docx", "A 39624-2026")</f>
        <v/>
      </c>
      <c r="AB26">
        <f>HYPERLINK("https://klasma.github.io/Logging_1496/klagomålsmail/A 39624-2026 FSC-klagomål mail.docx", "A 39624-2026")</f>
        <v/>
      </c>
      <c r="AC26">
        <f>HYPERLINK("https://klasma.github.io/Logging_1496/tillsyn/A 39624-2026 tillsynsbegäran.docx", "A 39624-2026")</f>
        <v/>
      </c>
      <c r="AD26">
        <f>HYPERLINK("https://klasma.github.io/Logging_1496/tillsynsmail/A 39624-2026 tillsynsbegäran mail.docx", "A 39624-2026")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46311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46311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46311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10610-2023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44988</v>
      </c>
      <c r="E30" s="1" t="n">
        <v>46311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Vanlig groda
Revlummer</t>
        </is>
      </c>
      <c r="W30">
        <f>HYPERLINK("https://klasma.github.io/Logging_1496/artfynd/A 10610-2023 artfynd.xlsx", "A 10610-2023")</f>
        <v/>
      </c>
      <c r="X30">
        <f>HYPERLINK("https://klasma.github.io/Logging_1496/kartor/A 10610-2023 karta.png", "A 10610-2023")</f>
        <v/>
      </c>
      <c r="Y30">
        <f>HYPERLINK("https://klasma.github.io/Logging_1496/kartor_geotiff/A 10610-2023 georefererad karta.tif", "A 10610-2023")</f>
        <v/>
      </c>
      <c r="AA30">
        <f>HYPERLINK("https://klasma.github.io/Logging_1496/klagomål/A 10610-2023 FSC-klagomål.docx", "A 10610-2023")</f>
        <v/>
      </c>
      <c r="AB30">
        <f>HYPERLINK("https://klasma.github.io/Logging_1496/klagomålsmail/A 10610-2023 FSC-klagomål mail.docx", "A 10610-2023")</f>
        <v/>
      </c>
      <c r="AC30">
        <f>HYPERLINK("https://klasma.github.io/Logging_1496/tillsyn/A 10610-2023 tillsynsbegäran.docx", "A 10610-2023")</f>
        <v/>
      </c>
      <c r="AD30">
        <f>HYPERLINK("https://klasma.github.io/Logging_1496/tillsynsmail/A 10610-2023 tillsynsbegäran mail.docx", "A 10610-2023")</f>
        <v/>
      </c>
    </row>
    <row r="31" ht="15" customHeight="1">
      <c r="A31" t="inlineStr">
        <is>
          <t>A 24996-2025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46311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Granbronssopp
Fjällig taggsvamp s.str.</t>
        </is>
      </c>
      <c r="W31">
        <f>HYPERLINK("https://klasma.github.io/Logging_1496/artfynd/A 24996-2025 artfynd.xlsx", "A 24996-2025")</f>
        <v/>
      </c>
      <c r="X31">
        <f>HYPERLINK("https://klasma.github.io/Logging_1496/kartor/A 24996-2025 karta.png", "A 24996-2025")</f>
        <v/>
      </c>
      <c r="Y31">
        <f>HYPERLINK("https://klasma.github.io/Logging_1496/kartor_geotiff/A 24996-2025 georefererad karta.tif", "A 24996-2025")</f>
        <v/>
      </c>
      <c r="AA31">
        <f>HYPERLINK("https://klasma.github.io/Logging_1496/klagomål/A 24996-2025 FSC-klagomål.docx", "A 24996-2025")</f>
        <v/>
      </c>
      <c r="AB31">
        <f>HYPERLINK("https://klasma.github.io/Logging_1496/klagomålsmail/A 24996-2025 FSC-klagomål mail.docx", "A 24996-2025")</f>
        <v/>
      </c>
      <c r="AC31">
        <f>HYPERLINK("https://klasma.github.io/Logging_1496/tillsyn/A 24996-2025 tillsynsbegäran.docx", "A 24996-2025")</f>
        <v/>
      </c>
      <c r="AD31">
        <f>HYPERLINK("https://klasma.github.io/Logging_1496/tillsynsmail/A 24996-2025 tillsynsbegäran mail.docx", "A 24996-2025")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46311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46311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46311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0</v>
      </c>
      <c r="V34" s="2" t="inlineStr">
        <is>
          <t>Ask
Skogsalm</t>
        </is>
      </c>
      <c r="W34">
        <f>HYPERLINK("https://klasma.github.io/Logging_1496/artfynd/A 26907-2026 artfynd.xlsx", "A 26907-2026")</f>
        <v/>
      </c>
      <c r="X34">
        <f>HYPERLINK("https://klasma.github.io/Logging_1496/kartor/A 26907-2026 karta.png", "A 26907-2026")</f>
        <v/>
      </c>
      <c r="Y34">
        <f>HYPERLINK("https://klasma.github.io/Logging_1496/kartor_geotiff/A 26907-2026 georefererad karta.tif", "A 26907-2026")</f>
        <v/>
      </c>
      <c r="AA34">
        <f>HYPERLINK("https://klasma.github.io/Logging_1496/klagomål/A 26907-2026 FSC-klagomål.docx", "A 26907-2026")</f>
        <v/>
      </c>
      <c r="AB34">
        <f>HYPERLINK("https://klasma.github.io/Logging_1496/klagomålsmail/A 26907-2026 FSC-klagomål mail.docx", "A 26907-2026")</f>
        <v/>
      </c>
      <c r="AC34">
        <f>HYPERLINK("https://klasma.github.io/Logging_1496/tillsyn/A 26907-2026 tillsynsbegäran.docx", "A 26907-2026")</f>
        <v/>
      </c>
      <c r="AD34">
        <f>HYPERLINK("https://klasma.github.io/Logging_1496/tillsynsmail/A 26907-2026 tillsynsbegäran mail.docx", "A 26907-2026")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46311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55642-2025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45972</v>
      </c>
      <c r="E36" s="1" t="n">
        <v>46311</v>
      </c>
      <c r="F36" t="inlineStr">
        <is>
          <t>VÄSTRA GÖTALANDS LÄN</t>
        </is>
      </c>
      <c r="G36" t="inlineStr">
        <is>
          <t>SKÖVDE</t>
        </is>
      </c>
      <c r="I36" t="n">
        <v>1.6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HYPERLINK("https://klasma.github.io/Logging_1496/artfynd/A 55642-2025 artfynd.xlsx", "A 55642-2025")</f>
        <v/>
      </c>
      <c r="X36">
        <f>HYPERLINK("https://klasma.github.io/Logging_1496/kartor/A 55642-2025 karta.png", "A 55642-2025")</f>
        <v/>
      </c>
      <c r="Y36">
        <f>HYPERLINK("https://klasma.github.io/Logging_1496/kartor_geotiff/A 55642-2025 georefererad karta.tif", "A 55642-2025")</f>
        <v/>
      </c>
      <c r="AA36">
        <f>HYPERLINK("https://klasma.github.io/Logging_1496/klagomål/A 55642-2025 FSC-klagomål.docx", "A 55642-2025")</f>
        <v/>
      </c>
      <c r="AB36">
        <f>HYPERLINK("https://klasma.github.io/Logging_1496/klagomålsmail/A 55642-2025 FSC-klagomål mail.docx", "A 55642-2025")</f>
        <v/>
      </c>
      <c r="AC36">
        <f>HYPERLINK("https://klasma.github.io/Logging_1496/tillsyn/A 55642-2025 tillsynsbegäran.docx", "A 55642-2025")</f>
        <v/>
      </c>
      <c r="AD36">
        <f>HYPERLINK("https://klasma.github.io/Logging_1496/tillsynsmail/A 55642-2025 tillsynsbegäran mail.docx", "A 55642-2025")</f>
        <v/>
      </c>
    </row>
    <row r="37" ht="15" customHeight="1">
      <c r="A37" t="inlineStr">
        <is>
          <t>A 42017-2025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46311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Mattlummer</t>
        </is>
      </c>
      <c r="W37">
        <f>HYPERLINK("https://klasma.github.io/Logging_1496/artfynd/A 42017-2025 artfynd.xlsx", "A 42017-2025")</f>
        <v/>
      </c>
      <c r="X37">
        <f>HYPERLINK("https://klasma.github.io/Logging_1496/kartor/A 42017-2025 karta.png", "A 42017-2025")</f>
        <v/>
      </c>
      <c r="Y37">
        <f>HYPERLINK("https://klasma.github.io/Logging_1496/kartor_geotiff/A 42017-2025 georefererad karta.tif", "A 42017-2025")</f>
        <v/>
      </c>
      <c r="AA37">
        <f>HYPERLINK("https://klasma.github.io/Logging_1496/klagomål/A 42017-2025 FSC-klagomål.docx", "A 42017-2025")</f>
        <v/>
      </c>
      <c r="AB37">
        <f>HYPERLINK("https://klasma.github.io/Logging_1496/klagomålsmail/A 42017-2025 FSC-klagomål mail.docx", "A 42017-2025")</f>
        <v/>
      </c>
      <c r="AC37">
        <f>HYPERLINK("https://klasma.github.io/Logging_1496/tillsyn/A 42017-2025 tillsynsbegäran.docx", "A 42017-2025")</f>
        <v/>
      </c>
      <c r="AD37">
        <f>HYPERLINK("https://klasma.github.io/Logging_1496/tillsynsmail/A 42017-2025 tillsynsbegäran mail.docx", "A 42017-2025")</f>
        <v/>
      </c>
    </row>
    <row r="38" ht="15" customHeight="1">
      <c r="A38" t="inlineStr">
        <is>
          <t>A 58467-2024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46311</v>
      </c>
      <c r="F38" t="inlineStr">
        <is>
          <t>VÄSTRA GÖTALANDS LÄN</t>
        </is>
      </c>
      <c r="G38" t="inlineStr">
        <is>
          <t>SKÖVDE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Sommarfibbla
Mattlummer</t>
        </is>
      </c>
      <c r="W38">
        <f>HYPERLINK("https://klasma.github.io/Logging_1496/artfynd/A 58467-2024 artfynd.xlsx", "A 58467-2024")</f>
        <v/>
      </c>
      <c r="X38">
        <f>HYPERLINK("https://klasma.github.io/Logging_1496/kartor/A 58467-2024 karta.png", "A 58467-2024")</f>
        <v/>
      </c>
      <c r="Y38">
        <f>HYPERLINK("https://klasma.github.io/Logging_1496/kartor_geotiff/A 58467-2024 georefererad karta.tif", "A 58467-2024")</f>
        <v/>
      </c>
      <c r="AA38">
        <f>HYPERLINK("https://klasma.github.io/Logging_1496/klagomål/A 58467-2024 FSC-klagomål.docx", "A 58467-2024")</f>
        <v/>
      </c>
      <c r="AB38">
        <f>HYPERLINK("https://klasma.github.io/Logging_1496/klagomålsmail/A 58467-2024 FSC-klagomål mail.docx", "A 58467-2024")</f>
        <v/>
      </c>
      <c r="AC38">
        <f>HYPERLINK("https://klasma.github.io/Logging_1496/tillsyn/A 58467-2024 tillsynsbegäran.docx", "A 58467-2024")</f>
        <v/>
      </c>
      <c r="AD38">
        <f>HYPERLINK("https://klasma.github.io/Logging_1496/tillsynsmail/A 58467-2024 tillsynsbegäran mail.docx", "A 58467-2024")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46311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Motaggsvamp</t>
        </is>
      </c>
      <c r="W39">
        <f>HYPERLINK("https://klasma.github.io/Logging_1496/artfynd/A 22268-2025 artfynd.xlsx", "A 22268-2025")</f>
        <v/>
      </c>
      <c r="X39">
        <f>HYPERLINK("https://klasma.github.io/Logging_1496/kartor/A 22268-2025 karta.png", "A 22268-2025")</f>
        <v/>
      </c>
      <c r="Y39">
        <f>HYPERLINK("https://klasma.github.io/Logging_1496/kartor_geotiff/A 22268-2025 georefererad karta.tif", "A 22268-2025")</f>
        <v/>
      </c>
      <c r="Z39">
        <f>HYPERLINK("https://klasma.github.io/Logging_1496/knärot/A 22268-2025 karta knärot.png", "A 22268-2025")</f>
        <v/>
      </c>
      <c r="AA39">
        <f>HYPERLINK("https://klasma.github.io/Logging_1496/klagomål/A 22268-2025 FSC-klagomål.docx", "A 22268-2025")</f>
        <v/>
      </c>
      <c r="AB39">
        <f>HYPERLINK("https://klasma.github.io/Logging_1496/klagomålsmail/A 22268-2025 FSC-klagomål mail.docx", "A 22268-2025")</f>
        <v/>
      </c>
      <c r="AC39">
        <f>HYPERLINK("https://klasma.github.io/Logging_1496/tillsyn/A 22268-2025 tillsynsbegäran.docx", "A 22268-2025")</f>
        <v/>
      </c>
      <c r="AD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45743</v>
      </c>
      <c r="E40" s="1" t="n">
        <v>46311</v>
      </c>
      <c r="F40" t="inlineStr">
        <is>
          <t>VÄSTRA GÖTALANDS LÄN</t>
        </is>
      </c>
      <c r="G40" t="inlineStr">
        <is>
          <t>SKÖVDE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Gullpudra</t>
        </is>
      </c>
      <c r="W40">
        <f>HYPERLINK("https://klasma.github.io/Logging_1496/artfynd/A 14964-2025 artfynd.xlsx", "A 14964-2025")</f>
        <v/>
      </c>
      <c r="X40">
        <f>HYPERLINK("https://klasma.github.io/Logging_1496/kartor/A 14964-2025 karta.png", "A 14964-2025")</f>
        <v/>
      </c>
      <c r="Y40">
        <f>HYPERLINK("https://klasma.github.io/Logging_1496/kartor_geotiff/A 14964-2025 georefererad karta.tif", "A 14964-2025")</f>
        <v/>
      </c>
      <c r="AA40">
        <f>HYPERLINK("https://klasma.github.io/Logging_1496/klagomål/A 14964-2025 FSC-klagomål.docx", "A 14964-2025")</f>
        <v/>
      </c>
      <c r="AB40">
        <f>HYPERLINK("https://klasma.github.io/Logging_1496/klagomålsmail/A 14964-2025 FSC-klagomål mail.docx", "A 14964-2025")</f>
        <v/>
      </c>
      <c r="AC40">
        <f>HYPERLINK("https://klasma.github.io/Logging_1496/tillsyn/A 14964-2025 tillsynsbegäran.docx", "A 14964-2025")</f>
        <v/>
      </c>
      <c r="AD40">
        <f>HYPERLINK("https://klasma.github.io/Logging_1496/tillsynsmail/A 14964-2025 tillsynsbegäran mail.docx", "A 14964-2025")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46311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26712-2025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46311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26712-2025 artfynd.xlsx", "A 26712-2025")</f>
        <v/>
      </c>
      <c r="X42">
        <f>HYPERLINK("https://klasma.github.io/Logging_1496/kartor/A 26712-2025 karta.png", "A 26712-2025")</f>
        <v/>
      </c>
      <c r="Y42">
        <f>HYPERLINK("https://klasma.github.io/Logging_1496/kartor_geotiff/A 26712-2025 georefererad karta.tif", "A 26712-2025")</f>
        <v/>
      </c>
      <c r="AA42">
        <f>HYPERLINK("https://klasma.github.io/Logging_1496/klagomål/A 26712-2025 FSC-klagomål.docx", "A 26712-2025")</f>
        <v/>
      </c>
      <c r="AB42">
        <f>HYPERLINK("https://klasma.github.io/Logging_1496/klagomålsmail/A 26712-2025 FSC-klagomål mail.docx", "A 26712-2025")</f>
        <v/>
      </c>
      <c r="AC42">
        <f>HYPERLINK("https://klasma.github.io/Logging_1496/tillsyn/A 26712-2025 tillsynsbegäran.docx", "A 26712-2025")</f>
        <v/>
      </c>
      <c r="AD42">
        <f>HYPERLINK("https://klasma.github.io/Logging_1496/tillsynsmail/A 26712-2025 tillsynsbegäran mail.docx", "A 26712-2025")</f>
        <v/>
      </c>
    </row>
    <row r="43" ht="15" customHeight="1">
      <c r="A43" t="inlineStr">
        <is>
          <t>A 17070-2025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45755</v>
      </c>
      <c r="E43" s="1" t="n">
        <v>46311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HYPERLINK("https://klasma.github.io/Logging_1496/artfynd/A 17070-2025 artfynd.xlsx", "A 17070-2025")</f>
        <v/>
      </c>
      <c r="X43">
        <f>HYPERLINK("https://klasma.github.io/Logging_1496/kartor/A 17070-2025 karta.png", "A 17070-2025")</f>
        <v/>
      </c>
      <c r="Y43">
        <f>HYPERLINK("https://klasma.github.io/Logging_1496/kartor_geotiff/A 17070-2025 georefererad karta.tif", "A 17070-2025")</f>
        <v/>
      </c>
      <c r="AA43">
        <f>HYPERLINK("https://klasma.github.io/Logging_1496/klagomål/A 17070-2025 FSC-klagomål.docx", "A 17070-2025")</f>
        <v/>
      </c>
      <c r="AB43">
        <f>HYPERLINK("https://klasma.github.io/Logging_1496/klagomålsmail/A 17070-2025 FSC-klagomål mail.docx", "A 17070-2025")</f>
        <v/>
      </c>
      <c r="AC43">
        <f>HYPERLINK("https://klasma.github.io/Logging_1496/tillsyn/A 17070-2025 tillsynsbegäran.docx", "A 17070-2025")</f>
        <v/>
      </c>
      <c r="AD43">
        <f>HYPERLINK("https://klasma.github.io/Logging_1496/tillsynsmail/A 17070-2025 tillsynsbegäran mail.docx", "A 17070-2025")</f>
        <v/>
      </c>
    </row>
    <row r="44" ht="15" customHeight="1">
      <c r="A44" t="inlineStr">
        <is>
          <t>A 29011-2023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46311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5.4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Skogsbräsma</t>
        </is>
      </c>
      <c r="W44">
        <f>HYPERLINK("https://klasma.github.io/Logging_1496/artfynd/A 29011-2023 artfynd.xlsx", "A 29011-2023")</f>
        <v/>
      </c>
      <c r="X44">
        <f>HYPERLINK("https://klasma.github.io/Logging_1496/kartor/A 29011-2023 karta.png", "A 29011-2023")</f>
        <v/>
      </c>
      <c r="Y44">
        <f>HYPERLINK("https://klasma.github.io/Logging_1496/kartor_geotiff/A 29011-2023 georefererad karta.tif", "A 29011-2023")</f>
        <v/>
      </c>
      <c r="AA44">
        <f>HYPERLINK("https://klasma.github.io/Logging_1496/klagomål/A 29011-2023 FSC-klagomål.docx", "A 29011-2023")</f>
        <v/>
      </c>
      <c r="AB44">
        <f>HYPERLINK("https://klasma.github.io/Logging_1496/klagomålsmail/A 29011-2023 FSC-klagomål mail.docx", "A 29011-2023")</f>
        <v/>
      </c>
      <c r="AC44">
        <f>HYPERLINK("https://klasma.github.io/Logging_1496/tillsyn/A 29011-2023 tillsynsbegäran.docx", "A 29011-2023")</f>
        <v/>
      </c>
      <c r="AD44">
        <f>HYPERLINK("https://klasma.github.io/Logging_1496/tillsynsmail/A 29011-2023 tillsynsbegäran mail.docx", "A 29011-2023")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46311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47898-2023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45204</v>
      </c>
      <c r="E46" s="1" t="n">
        <v>46311</v>
      </c>
      <c r="F46" t="inlineStr">
        <is>
          <t>VÄSTRA GÖTALANDS LÄN</t>
        </is>
      </c>
      <c r="G46" t="inlineStr">
        <is>
          <t>SKÖVDE</t>
        </is>
      </c>
      <c r="I46" t="n">
        <v>9.5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Karminticka</t>
        </is>
      </c>
      <c r="W46">
        <f>HYPERLINK("https://klasma.github.io/Logging_1496/artfynd/A 47898-2023 artfynd.xlsx", "A 47898-2023")</f>
        <v/>
      </c>
      <c r="X46">
        <f>HYPERLINK("https://klasma.github.io/Logging_1496/kartor/A 47898-2023 karta.png", "A 47898-2023")</f>
        <v/>
      </c>
      <c r="Y46">
        <f>HYPERLINK("https://klasma.github.io/Logging_1496/kartor_geotiff/A 47898-2023 georefererad karta.tif", "A 47898-2023")</f>
        <v/>
      </c>
      <c r="AA46">
        <f>HYPERLINK("https://klasma.github.io/Logging_1496/klagomål/A 47898-2023 FSC-klagomål.docx", "A 47898-2023")</f>
        <v/>
      </c>
      <c r="AB46">
        <f>HYPERLINK("https://klasma.github.io/Logging_1496/klagomålsmail/A 47898-2023 FSC-klagomål mail.docx", "A 47898-2023")</f>
        <v/>
      </c>
      <c r="AC46">
        <f>HYPERLINK("https://klasma.github.io/Logging_1496/tillsyn/A 47898-2023 tillsynsbegäran.docx", "A 47898-2023")</f>
        <v/>
      </c>
      <c r="AD46">
        <f>HYPERLINK("https://klasma.github.io/Logging_1496/tillsynsmail/A 47898-2023 tillsynsbegäran mail.docx", "A 47898-2023")</f>
        <v/>
      </c>
    </row>
    <row r="47" ht="15" customHeight="1">
      <c r="A47" t="inlineStr">
        <is>
          <t>A 3951-2024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46311</v>
      </c>
      <c r="F47" t="inlineStr">
        <is>
          <t>VÄSTRA GÖTALANDS LÄN</t>
        </is>
      </c>
      <c r="G47" t="inlineStr">
        <is>
          <t>SKÖVDE</t>
        </is>
      </c>
      <c r="I47" t="n">
        <v>10.7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HYPERLINK("https://klasma.github.io/Logging_1496/artfynd/A 3951-2024 artfynd.xlsx", "A 3951-2024")</f>
        <v/>
      </c>
      <c r="X47">
        <f>HYPERLINK("https://klasma.github.io/Logging_1496/kartor/A 3951-2024 karta.png", "A 3951-2024")</f>
        <v/>
      </c>
      <c r="Y47">
        <f>HYPERLINK("https://klasma.github.io/Logging_1496/kartor_geotiff/A 3951-2024 georefererad karta.tif", "A 3951-2024")</f>
        <v/>
      </c>
      <c r="AA47">
        <f>HYPERLINK("https://klasma.github.io/Logging_1496/klagomål/A 3951-2024 FSC-klagomål.docx", "A 3951-2024")</f>
        <v/>
      </c>
      <c r="AB47">
        <f>HYPERLINK("https://klasma.github.io/Logging_1496/klagomålsmail/A 3951-2024 FSC-klagomål mail.docx", "A 3951-2024")</f>
        <v/>
      </c>
      <c r="AC47">
        <f>HYPERLINK("https://klasma.github.io/Logging_1496/tillsyn/A 3951-2024 tillsynsbegäran.docx", "A 3951-2024")</f>
        <v/>
      </c>
      <c r="AD47">
        <f>HYPERLINK("https://klasma.github.io/Logging_1496/tillsynsmail/A 3951-2024 tillsynsbegäran mail.docx", "A 3951-2024")</f>
        <v/>
      </c>
    </row>
    <row r="48" ht="15" customHeight="1">
      <c r="A48" t="inlineStr">
        <is>
          <t>A 52377-2023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45224</v>
      </c>
      <c r="E48" s="1" t="n">
        <v>46311</v>
      </c>
      <c r="F48" t="inlineStr">
        <is>
          <t>VÄSTRA GÖTALANDS LÄN</t>
        </is>
      </c>
      <c r="G48" t="inlineStr">
        <is>
          <t>SKÖVDE</t>
        </is>
      </c>
      <c r="I48" t="n">
        <v>0.7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Kransrams</t>
        </is>
      </c>
      <c r="W48">
        <f>HYPERLINK("https://klasma.github.io/Logging_1496/artfynd/A 52377-2023 artfynd.xlsx", "A 52377-2023")</f>
        <v/>
      </c>
      <c r="X48">
        <f>HYPERLINK("https://klasma.github.io/Logging_1496/kartor/A 52377-2023 karta.png", "A 52377-2023")</f>
        <v/>
      </c>
      <c r="Y48">
        <f>HYPERLINK("https://klasma.github.io/Logging_1496/kartor_geotiff/A 52377-2023 georefererad karta.tif", "A 52377-2023")</f>
        <v/>
      </c>
      <c r="AA48">
        <f>HYPERLINK("https://klasma.github.io/Logging_1496/klagomål/A 52377-2023 FSC-klagomål.docx", "A 52377-2023")</f>
        <v/>
      </c>
      <c r="AB48">
        <f>HYPERLINK("https://klasma.github.io/Logging_1496/klagomålsmail/A 52377-2023 FSC-klagomål mail.docx", "A 52377-2023")</f>
        <v/>
      </c>
      <c r="AC48">
        <f>HYPERLINK("https://klasma.github.io/Logging_1496/tillsyn/A 52377-2023 tillsynsbegäran.docx", "A 52377-2023")</f>
        <v/>
      </c>
      <c r="AD48">
        <f>HYPERLINK("https://klasma.github.io/Logging_1496/tillsynsmail/A 52377-2023 tillsynsbegäran mail.docx", "A 52377-2023")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46311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46311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47869-2025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46311</v>
      </c>
      <c r="F51" t="inlineStr">
        <is>
          <t>VÄSTRA GÖTALANDS LÄN</t>
        </is>
      </c>
      <c r="G51" t="inlineStr">
        <is>
          <t>SKÖVDE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HYPERLINK("https://klasma.github.io/Logging_1496/artfynd/A 47869-2025 artfynd.xlsx", "A 47869-2025")</f>
        <v/>
      </c>
      <c r="X51">
        <f>HYPERLINK("https://klasma.github.io/Logging_1496/kartor/A 47869-2025 karta.png", "A 47869-2025")</f>
        <v/>
      </c>
      <c r="Y51">
        <f>HYPERLINK("https://klasma.github.io/Logging_1496/kartor_geotiff/A 47869-2025 georefererad karta.tif", "A 47869-2025")</f>
        <v/>
      </c>
      <c r="AA51">
        <f>HYPERLINK("https://klasma.github.io/Logging_1496/klagomål/A 47869-2025 FSC-klagomål.docx", "A 47869-2025")</f>
        <v/>
      </c>
      <c r="AB51">
        <f>HYPERLINK("https://klasma.github.io/Logging_1496/klagomålsmail/A 47869-2025 FSC-klagomål mail.docx", "A 47869-2025")</f>
        <v/>
      </c>
      <c r="AC51">
        <f>HYPERLINK("https://klasma.github.io/Logging_1496/tillsyn/A 47869-2025 tillsynsbegäran.docx", "A 47869-2025")</f>
        <v/>
      </c>
      <c r="AD51">
        <f>HYPERLINK("https://klasma.github.io/Logging_1496/tillsynsmail/A 47869-2025 tillsynsbegäran mail.docx", "A 47869-2025")</f>
        <v/>
      </c>
    </row>
    <row r="52" ht="15" customHeight="1">
      <c r="A52" t="inlineStr">
        <is>
          <t>A 17452-2023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45036</v>
      </c>
      <c r="E52" s="1" t="n">
        <v>46311</v>
      </c>
      <c r="F52" t="inlineStr">
        <is>
          <t>VÄSTRA GÖTALANDS LÄN</t>
        </is>
      </c>
      <c r="G52" t="inlineStr">
        <is>
          <t>SKÖVDE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HYPERLINK("https://klasma.github.io/Logging_1496/artfynd/A 17452-2023 artfynd.xlsx", "A 17452-2023")</f>
        <v/>
      </c>
      <c r="X52">
        <f>HYPERLINK("https://klasma.github.io/Logging_1496/kartor/A 17452-2023 karta.png", "A 17452-2023")</f>
        <v/>
      </c>
      <c r="Y52">
        <f>HYPERLINK("https://klasma.github.io/Logging_1496/kartor_geotiff/A 17452-2023 georefererad karta.tif", "A 17452-2023")</f>
        <v/>
      </c>
      <c r="AA52">
        <f>HYPERLINK("https://klasma.github.io/Logging_1496/klagomål/A 17452-2023 FSC-klagomål.docx", "A 17452-2023")</f>
        <v/>
      </c>
      <c r="AB52">
        <f>HYPERLINK("https://klasma.github.io/Logging_1496/klagomålsmail/A 17452-2023 FSC-klagomål mail.docx", "A 17452-2023")</f>
        <v/>
      </c>
      <c r="AC52">
        <f>HYPERLINK("https://klasma.github.io/Logging_1496/tillsyn/A 17452-2023 tillsynsbegäran.docx", "A 17452-2023")</f>
        <v/>
      </c>
      <c r="AD52">
        <f>HYPERLINK("https://klasma.github.io/Logging_1496/tillsynsmail/A 17452-2023 tillsynsbegäran mail.docx", "A 17452-2023")</f>
        <v/>
      </c>
    </row>
    <row r="53" ht="15" customHeight="1">
      <c r="A53" t="inlineStr">
        <is>
          <t>A 18132-2023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46311</v>
      </c>
      <c r="F53" t="inlineStr">
        <is>
          <t>VÄSTRA GÖTALANDS LÄN</t>
        </is>
      </c>
      <c r="G53" t="inlineStr">
        <is>
          <t>SKÖVDE</t>
        </is>
      </c>
      <c r="I53" t="n">
        <v>0.9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Hässleklocka</t>
        </is>
      </c>
      <c r="W53">
        <f>HYPERLINK("https://klasma.github.io/Logging_1496/artfynd/A 18132-2023 artfynd.xlsx", "A 18132-2023")</f>
        <v/>
      </c>
      <c r="X53">
        <f>HYPERLINK("https://klasma.github.io/Logging_1496/kartor/A 18132-2023 karta.png", "A 18132-2023")</f>
        <v/>
      </c>
      <c r="Y53">
        <f>HYPERLINK("https://klasma.github.io/Logging_1496/kartor_geotiff/A 18132-2023 georefererad karta.tif", "A 18132-2023")</f>
        <v/>
      </c>
      <c r="AA53">
        <f>HYPERLINK("https://klasma.github.io/Logging_1496/klagomål/A 18132-2023 FSC-klagomål.docx", "A 18132-2023")</f>
        <v/>
      </c>
      <c r="AB53">
        <f>HYPERLINK("https://klasma.github.io/Logging_1496/klagomålsmail/A 18132-2023 FSC-klagomål mail.docx", "A 18132-2023")</f>
        <v/>
      </c>
      <c r="AC53">
        <f>HYPERLINK("https://klasma.github.io/Logging_1496/tillsyn/A 18132-2023 tillsynsbegäran.docx", "A 18132-2023")</f>
        <v/>
      </c>
      <c r="AD53">
        <f>HYPERLINK("https://klasma.github.io/Logging_1496/tillsynsmail/A 18132-2023 tillsynsbegäran mail.docx", "A 18132-2023")</f>
        <v/>
      </c>
    </row>
    <row r="54" ht="15" customHeight="1">
      <c r="A54" t="inlineStr">
        <is>
          <t>A 24814-2026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46173</v>
      </c>
      <c r="E54" s="1" t="n">
        <v>46311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HYPERLINK("https://klasma.github.io/Logging_1496/artfynd/A 24814-2026 artfynd.xlsx", "A 24814-2026")</f>
        <v/>
      </c>
      <c r="X54">
        <f>HYPERLINK("https://klasma.github.io/Logging_1496/kartor/A 24814-2026 karta.png", "A 24814-2026")</f>
        <v/>
      </c>
      <c r="Y54">
        <f>HYPERLINK("https://klasma.github.io/Logging_1496/kartor_geotiff/A 24814-2026 georefererad karta.tif", "A 24814-2026")</f>
        <v/>
      </c>
      <c r="AA54">
        <f>HYPERLINK("https://klasma.github.io/Logging_1496/klagomål/A 24814-2026 FSC-klagomål.docx", "A 24814-2026")</f>
        <v/>
      </c>
      <c r="AB54">
        <f>HYPERLINK("https://klasma.github.io/Logging_1496/klagomålsmail/A 24814-2026 FSC-klagomål mail.docx", "A 24814-2026")</f>
        <v/>
      </c>
      <c r="AC54">
        <f>HYPERLINK("https://klasma.github.io/Logging_1496/tillsyn/A 24814-2026 tillsynsbegäran.docx", "A 24814-2026")</f>
        <v/>
      </c>
      <c r="AD54">
        <f>HYPERLINK("https://klasma.github.io/Logging_1496/tillsynsmail/A 24814-2026 tillsynsbegäran mail.docx", "A 24814-2026")</f>
        <v/>
      </c>
    </row>
    <row r="55" ht="15" customHeight="1">
      <c r="A55" t="inlineStr">
        <is>
          <t>A 35919-2023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46311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Svinrot</t>
        </is>
      </c>
      <c r="W55">
        <f>HYPERLINK("https://klasma.github.io/Logging_1496/artfynd/A 35919-2023 artfynd.xlsx", "A 35919-2023")</f>
        <v/>
      </c>
      <c r="X55">
        <f>HYPERLINK("https://klasma.github.io/Logging_1496/kartor/A 35919-2023 karta.png", "A 35919-2023")</f>
        <v/>
      </c>
      <c r="Y55">
        <f>HYPERLINK("https://klasma.github.io/Logging_1496/kartor_geotiff/A 35919-2023 georefererad karta.tif", "A 35919-2023")</f>
        <v/>
      </c>
      <c r="AA55">
        <f>HYPERLINK("https://klasma.github.io/Logging_1496/klagomål/A 35919-2023 FSC-klagomål.docx", "A 35919-2023")</f>
        <v/>
      </c>
      <c r="AB55">
        <f>HYPERLINK("https://klasma.github.io/Logging_1496/klagomålsmail/A 35919-2023 FSC-klagomål mail.docx", "A 35919-2023")</f>
        <v/>
      </c>
      <c r="AC55">
        <f>HYPERLINK("https://klasma.github.io/Logging_1496/tillsyn/A 35919-2023 tillsynsbegäran.docx", "A 35919-2023")</f>
        <v/>
      </c>
      <c r="AD55">
        <f>HYPERLINK("https://klasma.github.io/Logging_1496/tillsynsmail/A 35919-2023 tillsynsbegäran mail.docx", "A 35919-2023")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46311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42904-2023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46311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Grönvit nattviol</t>
        </is>
      </c>
      <c r="W57">
        <f>HYPERLINK("https://klasma.github.io/Logging_1496/artfynd/A 42904-2023 artfynd.xlsx", "A 42904-2023")</f>
        <v/>
      </c>
      <c r="X57">
        <f>HYPERLINK("https://klasma.github.io/Logging_1496/kartor/A 42904-2023 karta.png", "A 42904-2023")</f>
        <v/>
      </c>
      <c r="Y57">
        <f>HYPERLINK("https://klasma.github.io/Logging_1496/kartor_geotiff/A 42904-2023 georefererad karta.tif", "A 42904-2023")</f>
        <v/>
      </c>
      <c r="AA57">
        <f>HYPERLINK("https://klasma.github.io/Logging_1496/klagomål/A 42904-2023 FSC-klagomål.docx", "A 42904-2023")</f>
        <v/>
      </c>
      <c r="AB57">
        <f>HYPERLINK("https://klasma.github.io/Logging_1496/klagomålsmail/A 42904-2023 FSC-klagomål mail.docx", "A 42904-2023")</f>
        <v/>
      </c>
      <c r="AC57">
        <f>HYPERLINK("https://klasma.github.io/Logging_1496/tillsyn/A 42904-2023 tillsynsbegäran.docx", "A 42904-2023")</f>
        <v/>
      </c>
      <c r="AD57">
        <f>HYPERLINK("https://klasma.github.io/Logging_1496/tillsynsmail/A 42904-2023 tillsynsbegäran mail.docx", "A 42904-2023")</f>
        <v/>
      </c>
    </row>
    <row r="58" ht="15" customHeight="1">
      <c r="A58" t="inlineStr">
        <is>
          <t>A 3948-2024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46311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3948-2024 artfynd.xlsx", "A 3948-2024")</f>
        <v/>
      </c>
      <c r="X58">
        <f>HYPERLINK("https://klasma.github.io/Logging_1496/kartor/A 3948-2024 karta.png", "A 3948-2024")</f>
        <v/>
      </c>
      <c r="Y58">
        <f>HYPERLINK("https://klasma.github.io/Logging_1496/kartor_geotiff/A 3948-2024 georefererad karta.tif", "A 3948-2024")</f>
        <v/>
      </c>
      <c r="AA58">
        <f>HYPERLINK("https://klasma.github.io/Logging_1496/klagomål/A 3948-2024 FSC-klagomål.docx", "A 3948-2024")</f>
        <v/>
      </c>
      <c r="AB58">
        <f>HYPERLINK("https://klasma.github.io/Logging_1496/klagomålsmail/A 3948-2024 FSC-klagomål mail.docx", "A 3948-2024")</f>
        <v/>
      </c>
      <c r="AC58">
        <f>HYPERLINK("https://klasma.github.io/Logging_1496/tillsyn/A 3948-2024 tillsynsbegäran.docx", "A 3948-2024")</f>
        <v/>
      </c>
      <c r="AD58">
        <f>HYPERLINK("https://klasma.github.io/Logging_1496/tillsynsmail/A 3948-2024 tillsynsbegäran mail.docx", "A 3948-2024")</f>
        <v/>
      </c>
    </row>
    <row r="59" ht="15" customHeight="1">
      <c r="A59" t="inlineStr">
        <is>
          <t>A 15417-2023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46311</v>
      </c>
      <c r="F59" t="inlineStr">
        <is>
          <t>VÄSTRA GÖTALANDS LÄN</t>
        </is>
      </c>
      <c r="G59" t="inlineStr">
        <is>
          <t>SKÖVDE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Gullpudra</t>
        </is>
      </c>
      <c r="W59">
        <f>HYPERLINK("https://klasma.github.io/Logging_1496/artfynd/A 15417-2023 artfynd.xlsx", "A 15417-2023")</f>
        <v/>
      </c>
      <c r="X59">
        <f>HYPERLINK("https://klasma.github.io/Logging_1496/kartor/A 15417-2023 karta.png", "A 15417-2023")</f>
        <v/>
      </c>
      <c r="Y59">
        <f>HYPERLINK("https://klasma.github.io/Logging_1496/kartor_geotiff/A 15417-2023 georefererad karta.tif", "A 15417-2023")</f>
        <v/>
      </c>
      <c r="AA59">
        <f>HYPERLINK("https://klasma.github.io/Logging_1496/klagomål/A 15417-2023 FSC-klagomål.docx", "A 15417-2023")</f>
        <v/>
      </c>
      <c r="AB59">
        <f>HYPERLINK("https://klasma.github.io/Logging_1496/klagomålsmail/A 15417-2023 FSC-klagomål mail.docx", "A 15417-2023")</f>
        <v/>
      </c>
      <c r="AC59">
        <f>HYPERLINK("https://klasma.github.io/Logging_1496/tillsyn/A 15417-2023 tillsynsbegäran.docx", "A 15417-2023")</f>
        <v/>
      </c>
      <c r="AD59">
        <f>HYPERLINK("https://klasma.github.io/Logging_1496/tillsynsmail/A 15417-2023 tillsynsbegäran mail.docx", "A 15417-2023")</f>
        <v/>
      </c>
    </row>
    <row r="60" ht="15" customHeight="1">
      <c r="A60" t="inlineStr">
        <is>
          <t>A 4464-2026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46045</v>
      </c>
      <c r="E60" s="1" t="n">
        <v>46311</v>
      </c>
      <c r="F60" t="inlineStr">
        <is>
          <t>VÄSTRA GÖTALANDS LÄN</t>
        </is>
      </c>
      <c r="G60" t="inlineStr">
        <is>
          <t>SKÖVDE</t>
        </is>
      </c>
      <c r="I60" t="n">
        <v>0.7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Myskmadra</t>
        </is>
      </c>
      <c r="W60">
        <f>HYPERLINK("https://klasma.github.io/Logging_1496/artfynd/A 4464-2026 artfynd.xlsx", "A 4464-2026")</f>
        <v/>
      </c>
      <c r="X60">
        <f>HYPERLINK("https://klasma.github.io/Logging_1496/kartor/A 4464-2026 karta.png", "A 4464-2026")</f>
        <v/>
      </c>
      <c r="Y60">
        <f>HYPERLINK("https://klasma.github.io/Logging_1496/kartor_geotiff/A 4464-2026 georefererad karta.tif", "A 4464-2026")</f>
        <v/>
      </c>
      <c r="AA60">
        <f>HYPERLINK("https://klasma.github.io/Logging_1496/klagomål/A 4464-2026 FSC-klagomål.docx", "A 4464-2026")</f>
        <v/>
      </c>
      <c r="AB60">
        <f>HYPERLINK("https://klasma.github.io/Logging_1496/klagomålsmail/A 4464-2026 FSC-klagomål mail.docx", "A 4464-2026")</f>
        <v/>
      </c>
      <c r="AC60">
        <f>HYPERLINK("https://klasma.github.io/Logging_1496/tillsyn/A 4464-2026 tillsynsbegäran.docx", "A 4464-2026")</f>
        <v/>
      </c>
      <c r="AD60">
        <f>HYPERLINK("https://klasma.github.io/Logging_1496/tillsynsmail/A 4464-2026 tillsynsbegäran mail.docx", "A 4464-2026")</f>
        <v/>
      </c>
    </row>
    <row r="61" ht="15" customHeight="1">
      <c r="A61" t="inlineStr">
        <is>
          <t>A 6093-2026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46052</v>
      </c>
      <c r="E61" s="1" t="n">
        <v>46311</v>
      </c>
      <c r="F61" t="inlineStr">
        <is>
          <t>VÄSTRA GÖTALANDS LÄN</t>
        </is>
      </c>
      <c r="G61" t="inlineStr">
        <is>
          <t>SKÖVDE</t>
        </is>
      </c>
      <c r="I61" t="n">
        <v>5.8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Svinrot</t>
        </is>
      </c>
      <c r="W61">
        <f>HYPERLINK("https://klasma.github.io/Logging_1496/artfynd/A 6093-2026 artfynd.xlsx", "A 6093-2026")</f>
        <v/>
      </c>
      <c r="X61">
        <f>HYPERLINK("https://klasma.github.io/Logging_1496/kartor/A 6093-2026 karta.png", "A 6093-2026")</f>
        <v/>
      </c>
      <c r="Y61">
        <f>HYPERLINK("https://klasma.github.io/Logging_1496/kartor_geotiff/A 6093-2026 georefererad karta.tif", "A 6093-2026")</f>
        <v/>
      </c>
      <c r="AA61">
        <f>HYPERLINK("https://klasma.github.io/Logging_1496/klagomål/A 6093-2026 FSC-klagomål.docx", "A 6093-2026")</f>
        <v/>
      </c>
      <c r="AB61">
        <f>HYPERLINK("https://klasma.github.io/Logging_1496/klagomålsmail/A 6093-2026 FSC-klagomål mail.docx", "A 6093-2026")</f>
        <v/>
      </c>
      <c r="AC61">
        <f>HYPERLINK("https://klasma.github.io/Logging_1496/tillsyn/A 6093-2026 tillsynsbegäran.docx", "A 6093-2026")</f>
        <v/>
      </c>
      <c r="AD61">
        <f>HYPERLINK("https://klasma.github.io/Logging_1496/tillsynsmail/A 6093-2026 tillsynsbegäran mail.docx", "A 6093-2026")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46311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46311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46311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45379-2022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46311</v>
      </c>
      <c r="F66" t="inlineStr">
        <is>
          <t>VÄSTRA GÖTALANDS LÄN</t>
        </is>
      </c>
      <c r="G66" t="inlineStr">
        <is>
          <t>SKÖVDE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46311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46311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46311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46311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46311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46311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46311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46311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46311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46311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46311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46311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46311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46311</v>
      </c>
      <c r="F80" t="inlineStr">
        <is>
          <t>VÄSTRA GÖTALANDS LÄN</t>
        </is>
      </c>
      <c r="G80" t="inlineStr">
        <is>
          <t>SKÖVDE</t>
        </is>
      </c>
      <c r="H80" t="inlineStr">
        <is>
          <t>Kommuner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25271-2025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46311</v>
      </c>
      <c r="F81" t="inlineStr">
        <is>
          <t>VÄSTRA GÖTALANDS LÄN</t>
        </is>
      </c>
      <c r="G81" t="inlineStr">
        <is>
          <t>SKÖVDE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44635</v>
      </c>
      <c r="E82" s="1" t="n">
        <v>46311</v>
      </c>
      <c r="F82" t="inlineStr">
        <is>
          <t>VÄSTRA GÖTALANDS LÄN</t>
        </is>
      </c>
      <c r="G82" t="inlineStr">
        <is>
          <t>SKÖVDE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46311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25639-2025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45800</v>
      </c>
      <c r="E84" s="1" t="n">
        <v>46311</v>
      </c>
      <c r="F84" t="inlineStr">
        <is>
          <t>VÄSTRA GÖTALANDS LÄN</t>
        </is>
      </c>
      <c r="G84" t="inlineStr">
        <is>
          <t>SKÖVDE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46311</v>
      </c>
      <c r="F85" t="inlineStr">
        <is>
          <t>VÄSTRA GÖTALANDS LÄN</t>
        </is>
      </c>
      <c r="G85" t="inlineStr">
        <is>
          <t>SKÖVDE</t>
        </is>
      </c>
      <c r="H85" t="inlineStr">
        <is>
          <t>Kommuner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25642-2025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45803</v>
      </c>
      <c r="E86" s="1" t="n">
        <v>46311</v>
      </c>
      <c r="F86" t="inlineStr">
        <is>
          <t>VÄSTRA GÖTALANDS LÄN</t>
        </is>
      </c>
      <c r="G86" t="inlineStr">
        <is>
          <t>SKÖVDE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46311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46311</v>
      </c>
      <c r="F88" t="inlineStr">
        <is>
          <t>VÄSTRA GÖTALANDS LÄN</t>
        </is>
      </c>
      <c r="G88" t="inlineStr">
        <is>
          <t>SKÖVDE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44823</v>
      </c>
      <c r="E89" s="1" t="n">
        <v>46311</v>
      </c>
      <c r="F89" t="inlineStr">
        <is>
          <t>VÄSTRA GÖTALANDS LÄN</t>
        </is>
      </c>
      <c r="G89" t="inlineStr">
        <is>
          <t>SKÖVDE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46311</v>
      </c>
      <c r="F90" t="inlineStr">
        <is>
          <t>VÄSTRA GÖTALANDS LÄN</t>
        </is>
      </c>
      <c r="G90" t="inlineStr">
        <is>
          <t>SKÖVDE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46311</v>
      </c>
      <c r="F91" t="inlineStr">
        <is>
          <t>VÄSTRA GÖTALANDS LÄN</t>
        </is>
      </c>
      <c r="G91" t="inlineStr">
        <is>
          <t>SKÖVDE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26620-2025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45810</v>
      </c>
      <c r="E92" s="1" t="n">
        <v>46311</v>
      </c>
      <c r="F92" t="inlineStr">
        <is>
          <t>VÄSTRA GÖTALANDS LÄN</t>
        </is>
      </c>
      <c r="G92" t="inlineStr">
        <is>
          <t>SKÖVDE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46311</v>
      </c>
      <c r="F93" t="inlineStr">
        <is>
          <t>VÄSTRA GÖTALANDS LÄN</t>
        </is>
      </c>
      <c r="G93" t="inlineStr">
        <is>
          <t>SKÖVDE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44862</v>
      </c>
      <c r="E94" s="1" t="n">
        <v>46311</v>
      </c>
      <c r="F94" t="inlineStr">
        <is>
          <t>VÄSTRA GÖTALANDS LÄN</t>
        </is>
      </c>
      <c r="G94" t="inlineStr">
        <is>
          <t>SKÖVDE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46311</v>
      </c>
      <c r="F95" t="inlineStr">
        <is>
          <t>VÄSTRA GÖTALANDS LÄN</t>
        </is>
      </c>
      <c r="G95" t="inlineStr">
        <is>
          <t>SKÖVDE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46311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45706</v>
      </c>
      <c r="E97" s="1" t="n">
        <v>46311</v>
      </c>
      <c r="F97" t="inlineStr">
        <is>
          <t>VÄSTRA GÖTALANDS LÄN</t>
        </is>
      </c>
      <c r="G97" t="inlineStr">
        <is>
          <t>SKÖVDE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46311</v>
      </c>
      <c r="F98" t="inlineStr">
        <is>
          <t>VÄSTRA GÖTALANDS LÄN</t>
        </is>
      </c>
      <c r="G98" t="inlineStr">
        <is>
          <t>SKÖVDE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46311</v>
      </c>
      <c r="F99" t="inlineStr">
        <is>
          <t>VÄSTRA GÖTALANDS LÄN</t>
        </is>
      </c>
      <c r="G99" t="inlineStr">
        <is>
          <t>SKÖVDE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46311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29015-2025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45821</v>
      </c>
      <c r="E101" s="1" t="n">
        <v>46311</v>
      </c>
      <c r="F101" t="inlineStr">
        <is>
          <t>VÄSTRA GÖTALANDS LÄN</t>
        </is>
      </c>
      <c r="G101" t="inlineStr">
        <is>
          <t>SKÖVDE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45821</v>
      </c>
      <c r="E102" s="1" t="n">
        <v>46311</v>
      </c>
      <c r="F102" t="inlineStr">
        <is>
          <t>VÄSTRA GÖTALANDS LÄN</t>
        </is>
      </c>
      <c r="G102" t="inlineStr">
        <is>
          <t>SKÖVDE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45821</v>
      </c>
      <c r="E103" s="1" t="n">
        <v>46311</v>
      </c>
      <c r="F103" t="inlineStr">
        <is>
          <t>VÄSTRA GÖTALANDS LÄN</t>
        </is>
      </c>
      <c r="G103" t="inlineStr">
        <is>
          <t>SKÖVDE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46311</v>
      </c>
      <c r="F104" t="inlineStr">
        <is>
          <t>VÄSTRA GÖTALANDS LÄN</t>
        </is>
      </c>
      <c r="G104" t="inlineStr">
        <is>
          <t>SKÖVDE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30150-2025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45827</v>
      </c>
      <c r="E105" s="1" t="n">
        <v>46311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Kommuner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45299</v>
      </c>
      <c r="E106" s="1" t="n">
        <v>46311</v>
      </c>
      <c r="F106" t="inlineStr">
        <is>
          <t>VÄSTRA GÖTALANDS LÄN</t>
        </is>
      </c>
      <c r="G106" t="inlineStr">
        <is>
          <t>SKÖVDE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46311</v>
      </c>
      <c r="F107" t="inlineStr">
        <is>
          <t>VÄSTRA GÖTALANDS LÄN</t>
        </is>
      </c>
      <c r="G107" t="inlineStr">
        <is>
          <t>SKÖVDE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46311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46311</v>
      </c>
      <c r="F109" t="inlineStr">
        <is>
          <t>VÄSTRA GÖTALANDS LÄN</t>
        </is>
      </c>
      <c r="G109" t="inlineStr">
        <is>
          <t>SKÖVDE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45245</v>
      </c>
      <c r="E110" s="1" t="n">
        <v>46311</v>
      </c>
      <c r="F110" t="inlineStr">
        <is>
          <t>VÄSTRA GÖTALANDS LÄN</t>
        </is>
      </c>
      <c r="G110" t="inlineStr">
        <is>
          <t>SKÖVDE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45315</v>
      </c>
      <c r="E111" s="1" t="n">
        <v>46311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44804</v>
      </c>
      <c r="E112" s="1" t="n">
        <v>46311</v>
      </c>
      <c r="F112" t="inlineStr">
        <is>
          <t>VÄSTRA GÖTALANDS LÄN</t>
        </is>
      </c>
      <c r="G112" t="inlineStr">
        <is>
          <t>SKÖVDE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46311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Kommuner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46311</v>
      </c>
      <c r="F114" t="inlineStr">
        <is>
          <t>VÄSTRA GÖTALANDS LÄN</t>
        </is>
      </c>
      <c r="G114" t="inlineStr">
        <is>
          <t>SKÖVDE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45853</v>
      </c>
      <c r="E115" s="1" t="n">
        <v>46311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46311</v>
      </c>
      <c r="F116" t="inlineStr">
        <is>
          <t>VÄSTRA GÖTALANDS LÄN</t>
        </is>
      </c>
      <c r="G116" t="inlineStr">
        <is>
          <t>SKÖVDE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45846</v>
      </c>
      <c r="E117" s="1" t="n">
        <v>46311</v>
      </c>
      <c r="F117" t="inlineStr">
        <is>
          <t>VÄSTRA GÖTALANDS LÄN</t>
        </is>
      </c>
      <c r="G117" t="inlineStr">
        <is>
          <t>SKÖVDE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46311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46311</v>
      </c>
      <c r="F119" t="inlineStr">
        <is>
          <t>VÄSTRA GÖTALANDS LÄN</t>
        </is>
      </c>
      <c r="G119" t="inlineStr">
        <is>
          <t>SKÖVDE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45314</v>
      </c>
      <c r="E120" s="1" t="n">
        <v>46311</v>
      </c>
      <c r="F120" t="inlineStr">
        <is>
          <t>VÄSTRA GÖTALANDS LÄN</t>
        </is>
      </c>
      <c r="G120" t="inlineStr">
        <is>
          <t>SKÖVDE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45306</v>
      </c>
      <c r="E121" s="1" t="n">
        <v>46311</v>
      </c>
      <c r="F121" t="inlineStr">
        <is>
          <t>VÄSTRA GÖTALANDS LÄN</t>
        </is>
      </c>
      <c r="G121" t="inlineStr">
        <is>
          <t>SKÖVDE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46311</v>
      </c>
      <c r="F122" t="inlineStr">
        <is>
          <t>VÄSTRA GÖTALANDS LÄN</t>
        </is>
      </c>
      <c r="G122" t="inlineStr">
        <is>
          <t>SKÖVDE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46311</v>
      </c>
      <c r="F123" t="inlineStr">
        <is>
          <t>VÄSTRA GÖTALANDS LÄN</t>
        </is>
      </c>
      <c r="G123" t="inlineStr">
        <is>
          <t>SKÖVDE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46311</v>
      </c>
      <c r="F124" t="inlineStr">
        <is>
          <t>VÄSTRA GÖTALANDS LÄN</t>
        </is>
      </c>
      <c r="G124" t="inlineStr">
        <is>
          <t>SKÖVDE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46311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44938</v>
      </c>
      <c r="E126" s="1" t="n">
        <v>46311</v>
      </c>
      <c r="F126" t="inlineStr">
        <is>
          <t>VÄSTRA GÖTALANDS LÄN</t>
        </is>
      </c>
      <c r="G126" t="inlineStr">
        <is>
          <t>SKÖVDE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45531</v>
      </c>
      <c r="E127" s="1" t="n">
        <v>46311</v>
      </c>
      <c r="F127" t="inlineStr">
        <is>
          <t>VÄSTRA GÖTALANDS LÄN</t>
        </is>
      </c>
      <c r="G127" t="inlineStr">
        <is>
          <t>SKÖVDE</t>
        </is>
      </c>
      <c r="I127" t="n">
        <v>11.7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46311</v>
      </c>
      <c r="F128" t="inlineStr">
        <is>
          <t>VÄSTRA GÖTALANDS LÄN</t>
        </is>
      </c>
      <c r="G128" t="inlineStr">
        <is>
          <t>SKÖVDE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46311</v>
      </c>
      <c r="F129" t="inlineStr">
        <is>
          <t>VÄSTRA GÖTALANDS LÄN</t>
        </is>
      </c>
      <c r="G129" t="inlineStr">
        <is>
          <t>SKÖVDE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46311</v>
      </c>
      <c r="F130" t="inlineStr">
        <is>
          <t>VÄSTRA GÖTALANDS LÄN</t>
        </is>
      </c>
      <c r="G130" t="inlineStr">
        <is>
          <t>SKÖVDE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44959</v>
      </c>
      <c r="E131" s="1" t="n">
        <v>46311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46311</v>
      </c>
      <c r="F132" t="inlineStr">
        <is>
          <t>VÄSTRA GÖTALANDS LÄN</t>
        </is>
      </c>
      <c r="G132" t="inlineStr">
        <is>
          <t>SKÖVDE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46311</v>
      </c>
      <c r="F133" t="inlineStr">
        <is>
          <t>VÄSTRA GÖTALANDS LÄN</t>
        </is>
      </c>
      <c r="G133" t="inlineStr">
        <is>
          <t>SKÖVDE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17798-2024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45418</v>
      </c>
      <c r="E134" s="1" t="n">
        <v>46311</v>
      </c>
      <c r="F134" t="inlineStr">
        <is>
          <t>VÄSTRA GÖTALANDS LÄN</t>
        </is>
      </c>
      <c r="G134" t="inlineStr">
        <is>
          <t>SKÖVDE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46311</v>
      </c>
      <c r="F135" t="inlineStr">
        <is>
          <t>VÄSTRA GÖTALANDS LÄN</t>
        </is>
      </c>
      <c r="G135" t="inlineStr">
        <is>
          <t>SKÖVDE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46311</v>
      </c>
      <c r="F136" t="inlineStr">
        <is>
          <t>VÄSTRA GÖTALANDS LÄN</t>
        </is>
      </c>
      <c r="G136" t="inlineStr">
        <is>
          <t>SKÖVDE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45693</v>
      </c>
      <c r="E137" s="1" t="n">
        <v>46311</v>
      </c>
      <c r="F137" t="inlineStr">
        <is>
          <t>VÄSTRA GÖTALANDS LÄN</t>
        </is>
      </c>
      <c r="G137" t="inlineStr">
        <is>
          <t>SKÖVDE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45306</v>
      </c>
      <c r="E138" s="1" t="n">
        <v>46311</v>
      </c>
      <c r="F138" t="inlineStr">
        <is>
          <t>VÄSTRA GÖTALANDS LÄN</t>
        </is>
      </c>
      <c r="G138" t="inlineStr">
        <is>
          <t>SKÖVDE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45670</v>
      </c>
      <c r="E139" s="1" t="n">
        <v>46311</v>
      </c>
      <c r="F139" t="inlineStr">
        <is>
          <t>VÄSTRA GÖTALANDS LÄN</t>
        </is>
      </c>
      <c r="G139" t="inlineStr">
        <is>
          <t>SKÖVDE</t>
        </is>
      </c>
      <c r="I139" t="n">
        <v>11.8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46311</v>
      </c>
      <c r="F140" t="inlineStr">
        <is>
          <t>VÄSTRA GÖTALANDS LÄN</t>
        </is>
      </c>
      <c r="G140" t="inlineStr">
        <is>
          <t>SKÖVDE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14281-2026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46099</v>
      </c>
      <c r="E141" s="1" t="n">
        <v>46311</v>
      </c>
      <c r="F141" t="inlineStr">
        <is>
          <t>VÄSTRA GÖTALANDS LÄN</t>
        </is>
      </c>
      <c r="G141" t="inlineStr">
        <is>
          <t>SKÖVDE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46311</v>
      </c>
      <c r="F142" t="inlineStr">
        <is>
          <t>VÄSTRA GÖTALANDS LÄN</t>
        </is>
      </c>
      <c r="G142" t="inlineStr">
        <is>
          <t>SKÖVDE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45401</v>
      </c>
      <c r="E143" s="1" t="n">
        <v>46311</v>
      </c>
      <c r="F143" t="inlineStr">
        <is>
          <t>VÄSTRA GÖTALANDS LÄN</t>
        </is>
      </c>
      <c r="G143" t="inlineStr">
        <is>
          <t>SKÖVDE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44599</v>
      </c>
      <c r="E144" s="1" t="n">
        <v>46311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Kyrkan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37204-2024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46311</v>
      </c>
      <c r="F145" t="inlineStr">
        <is>
          <t>VÄSTRA GÖTALANDS LÄN</t>
        </is>
      </c>
      <c r="G145" t="inlineStr">
        <is>
          <t>SKÖVDE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46311</v>
      </c>
      <c r="F146" t="inlineStr">
        <is>
          <t>VÄSTRA GÖTALANDS LÄN</t>
        </is>
      </c>
      <c r="G146" t="inlineStr">
        <is>
          <t>SKÖVDE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46311</v>
      </c>
      <c r="F147" t="inlineStr">
        <is>
          <t>VÄSTRA GÖTALANDS LÄN</t>
        </is>
      </c>
      <c r="G147" t="inlineStr">
        <is>
          <t>SKÖVDE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46311</v>
      </c>
      <c r="F148" t="inlineStr">
        <is>
          <t>VÄSTRA GÖTALANDS LÄN</t>
        </is>
      </c>
      <c r="G148" t="inlineStr">
        <is>
          <t>SKÖVDE</t>
        </is>
      </c>
      <c r="I148" t="n">
        <v>10.1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46311</v>
      </c>
      <c r="F149" t="inlineStr">
        <is>
          <t>VÄSTRA GÖTALANDS LÄN</t>
        </is>
      </c>
      <c r="G149" t="inlineStr">
        <is>
          <t>SKÖVDE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46311</v>
      </c>
      <c r="F150" t="inlineStr">
        <is>
          <t>VÄSTRA GÖTALANDS LÄN</t>
        </is>
      </c>
      <c r="G150" t="inlineStr">
        <is>
          <t>SKÖVDE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44750</v>
      </c>
      <c r="E151" s="1" t="n">
        <v>46311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46311</v>
      </c>
      <c r="F152" t="inlineStr">
        <is>
          <t>VÄSTRA GÖTALANDS LÄN</t>
        </is>
      </c>
      <c r="G152" t="inlineStr">
        <is>
          <t>SKÖVDE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46311</v>
      </c>
      <c r="F153" t="inlineStr">
        <is>
          <t>VÄSTRA GÖTALANDS LÄN</t>
        </is>
      </c>
      <c r="G153" t="inlineStr">
        <is>
          <t>SKÖVDE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46311</v>
      </c>
      <c r="F154" t="inlineStr">
        <is>
          <t>VÄSTRA GÖTALANDS LÄN</t>
        </is>
      </c>
      <c r="G154" t="inlineStr">
        <is>
          <t>SKÖVDE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45230</v>
      </c>
      <c r="E155" s="1" t="n">
        <v>46311</v>
      </c>
      <c r="F155" t="inlineStr">
        <is>
          <t>VÄSTRA GÖTALANDS LÄN</t>
        </is>
      </c>
      <c r="G155" t="inlineStr">
        <is>
          <t>SKÖVDE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46311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46311</v>
      </c>
      <c r="F157" t="inlineStr">
        <is>
          <t>VÄSTRA GÖTALANDS LÄN</t>
        </is>
      </c>
      <c r="G157" t="inlineStr">
        <is>
          <t>SKÖVDE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40995-2022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44825</v>
      </c>
      <c r="E158" s="1" t="n">
        <v>46311</v>
      </c>
      <c r="F158" t="inlineStr">
        <is>
          <t>VÄSTRA GÖTALANDS LÄN</t>
        </is>
      </c>
      <c r="G158" t="inlineStr">
        <is>
          <t>SKÖVDE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46311</v>
      </c>
      <c r="F159" t="inlineStr">
        <is>
          <t>VÄSTRA GÖTALANDS LÄN</t>
        </is>
      </c>
      <c r="G159" t="inlineStr">
        <is>
          <t>SKÖVDE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46311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13669-2023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46311</v>
      </c>
      <c r="F161" t="inlineStr">
        <is>
          <t>VÄSTRA GÖTALANDS LÄN</t>
        </is>
      </c>
      <c r="G161" t="inlineStr">
        <is>
          <t>SKÖVDE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46311</v>
      </c>
      <c r="F162" t="inlineStr">
        <is>
          <t>VÄSTRA GÖTALANDS LÄN</t>
        </is>
      </c>
      <c r="G162" t="inlineStr">
        <is>
          <t>SKÖVDE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46311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46311</v>
      </c>
      <c r="F164" t="inlineStr">
        <is>
          <t>VÄSTRA GÖTALANDS LÄN</t>
        </is>
      </c>
      <c r="G164" t="inlineStr">
        <is>
          <t>SKÖVDE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45685</v>
      </c>
      <c r="E165" s="1" t="n">
        <v>46311</v>
      </c>
      <c r="F165" t="inlineStr">
        <is>
          <t>VÄSTRA GÖTALANDS LÄN</t>
        </is>
      </c>
      <c r="G165" t="inlineStr">
        <is>
          <t>SKÖVDE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45590</v>
      </c>
      <c r="E166" s="1" t="n">
        <v>46311</v>
      </c>
      <c r="F166" t="inlineStr">
        <is>
          <t>VÄSTRA GÖTALANDS LÄN</t>
        </is>
      </c>
      <c r="G166" t="inlineStr">
        <is>
          <t>SKÖVDE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45385</v>
      </c>
      <c r="E167" s="1" t="n">
        <v>46311</v>
      </c>
      <c r="F167" t="inlineStr">
        <is>
          <t>VÄSTRA GÖTALANDS LÄN</t>
        </is>
      </c>
      <c r="G167" t="inlineStr">
        <is>
          <t>SKÖVDE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46311</v>
      </c>
      <c r="F168" t="inlineStr">
        <is>
          <t>VÄSTRA GÖTALANDS LÄN</t>
        </is>
      </c>
      <c r="G168" t="inlineStr">
        <is>
          <t>SKÖVDE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46311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46311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46311</v>
      </c>
      <c r="F171" t="inlineStr">
        <is>
          <t>VÄSTRA GÖTALANDS LÄN</t>
        </is>
      </c>
      <c r="G171" t="inlineStr">
        <is>
          <t>SKÖVDE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44811</v>
      </c>
      <c r="E172" s="1" t="n">
        <v>46311</v>
      </c>
      <c r="F172" t="inlineStr">
        <is>
          <t>VÄSTRA GÖTALANDS LÄN</t>
        </is>
      </c>
      <c r="G172" t="inlineStr">
        <is>
          <t>SKÖVDE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46311</v>
      </c>
      <c r="F173" t="inlineStr">
        <is>
          <t>VÄSTRA GÖTALANDS LÄN</t>
        </is>
      </c>
      <c r="G173" t="inlineStr">
        <is>
          <t>SKÖVDE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34528-2023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46311</v>
      </c>
      <c r="F174" t="inlineStr">
        <is>
          <t>VÄSTRA GÖTALANDS LÄN</t>
        </is>
      </c>
      <c r="G174" t="inlineStr">
        <is>
          <t>SKÖVDE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46311</v>
      </c>
      <c r="F175" t="inlineStr">
        <is>
          <t>VÄSTRA GÖTALANDS LÄN</t>
        </is>
      </c>
      <c r="G175" t="inlineStr">
        <is>
          <t>SKÖVDE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46311</v>
      </c>
      <c r="F176" t="inlineStr">
        <is>
          <t>VÄSTRA GÖTALANDS LÄN</t>
        </is>
      </c>
      <c r="G176" t="inlineStr">
        <is>
          <t>SKÖVDE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46311</v>
      </c>
      <c r="F177" t="inlineStr">
        <is>
          <t>VÄSTRA GÖTALANDS LÄN</t>
        </is>
      </c>
      <c r="G177" t="inlineStr">
        <is>
          <t>SKÖVDE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46311</v>
      </c>
      <c r="F178" t="inlineStr">
        <is>
          <t>VÄSTRA GÖTALANDS LÄN</t>
        </is>
      </c>
      <c r="G178" t="inlineStr">
        <is>
          <t>SKÖVDE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46311</v>
      </c>
      <c r="F179" t="inlineStr">
        <is>
          <t>VÄSTRA GÖTALANDS LÄN</t>
        </is>
      </c>
      <c r="G179" t="inlineStr">
        <is>
          <t>SKÖVDE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2901-2026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46038</v>
      </c>
      <c r="E180" s="1" t="n">
        <v>46311</v>
      </c>
      <c r="F180" t="inlineStr">
        <is>
          <t>VÄSTRA GÖTALANDS LÄN</t>
        </is>
      </c>
      <c r="G180" t="inlineStr">
        <is>
          <t>SKÖVDE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46311</v>
      </c>
      <c r="F181" t="inlineStr">
        <is>
          <t>VÄSTRA GÖTALANDS LÄN</t>
        </is>
      </c>
      <c r="G181" t="inlineStr">
        <is>
          <t>SKÖVDE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46311</v>
      </c>
      <c r="F182" t="inlineStr">
        <is>
          <t>VÄSTRA GÖTALANDS LÄN</t>
        </is>
      </c>
      <c r="G182" t="inlineStr">
        <is>
          <t>SKÖVDE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44636</v>
      </c>
      <c r="E183" s="1" t="n">
        <v>46311</v>
      </c>
      <c r="F183" t="inlineStr">
        <is>
          <t>VÄSTRA GÖTALANDS LÄN</t>
        </is>
      </c>
      <c r="G183" t="inlineStr">
        <is>
          <t>SKÖVDE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46311</v>
      </c>
      <c r="F184" t="inlineStr">
        <is>
          <t>VÄSTRA GÖTALANDS LÄN</t>
        </is>
      </c>
      <c r="G184" t="inlineStr">
        <is>
          <t>SKÖVDE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45905</v>
      </c>
      <c r="E185" s="1" t="n">
        <v>46311</v>
      </c>
      <c r="F185" t="inlineStr">
        <is>
          <t>VÄSTRA GÖTALANDS LÄN</t>
        </is>
      </c>
      <c r="G185" t="inlineStr">
        <is>
          <t>SKÖVDE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46311</v>
      </c>
      <c r="F186" t="inlineStr">
        <is>
          <t>VÄSTRA GÖTALANDS LÄN</t>
        </is>
      </c>
      <c r="G186" t="inlineStr">
        <is>
          <t>SKÖVDE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46311</v>
      </c>
      <c r="F187" t="inlineStr">
        <is>
          <t>VÄSTRA GÖTALANDS LÄN</t>
        </is>
      </c>
      <c r="G187" t="inlineStr">
        <is>
          <t>SKÖVDE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45636</v>
      </c>
      <c r="E188" s="1" t="n">
        <v>46311</v>
      </c>
      <c r="F188" t="inlineStr">
        <is>
          <t>VÄSTRA GÖTALANDS LÄN</t>
        </is>
      </c>
      <c r="G188" t="inlineStr">
        <is>
          <t>SKÖVDE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46311</v>
      </c>
      <c r="F189" t="inlineStr">
        <is>
          <t>VÄSTRA GÖTALANDS LÄN</t>
        </is>
      </c>
      <c r="G189" t="inlineStr">
        <is>
          <t>SKÖVDE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46311</v>
      </c>
      <c r="F190" t="inlineStr">
        <is>
          <t>VÄSTRA GÖTALANDS LÄN</t>
        </is>
      </c>
      <c r="G190" t="inlineStr">
        <is>
          <t>SKÖVDE</t>
        </is>
      </c>
      <c r="H190" t="inlineStr">
        <is>
          <t>Kommuner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44963</v>
      </c>
      <c r="E191" s="1" t="n">
        <v>46311</v>
      </c>
      <c r="F191" t="inlineStr">
        <is>
          <t>VÄSTRA GÖTALANDS LÄN</t>
        </is>
      </c>
      <c r="G191" t="inlineStr">
        <is>
          <t>SKÖVDE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46311</v>
      </c>
      <c r="F192" t="inlineStr">
        <is>
          <t>VÄSTRA GÖTALANDS LÄN</t>
        </is>
      </c>
      <c r="G192" t="inlineStr">
        <is>
          <t>SKÖVDE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46311</v>
      </c>
      <c r="F193" t="inlineStr">
        <is>
          <t>VÄSTRA GÖTALANDS LÄN</t>
        </is>
      </c>
      <c r="G193" t="inlineStr">
        <is>
          <t>SKÖVDE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46182</v>
      </c>
      <c r="E194" s="1" t="n">
        <v>46311</v>
      </c>
      <c r="F194" t="inlineStr">
        <is>
          <t>VÄSTRA GÖTALANDS LÄN</t>
        </is>
      </c>
      <c r="G194" t="inlineStr">
        <is>
          <t>SKÖVDE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46311</v>
      </c>
      <c r="F195" t="inlineStr">
        <is>
          <t>VÄSTRA GÖTALANDS LÄN</t>
        </is>
      </c>
      <c r="G195" t="inlineStr">
        <is>
          <t>SKÖVDE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26914-2026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46185</v>
      </c>
      <c r="E196" s="1" t="n">
        <v>46311</v>
      </c>
      <c r="F196" t="inlineStr">
        <is>
          <t>VÄSTRA GÖTALANDS LÄN</t>
        </is>
      </c>
      <c r="G196" t="inlineStr">
        <is>
          <t>SKÖVDE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46311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67134-2021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44523</v>
      </c>
      <c r="E198" s="1" t="n">
        <v>46311</v>
      </c>
      <c r="F198" t="inlineStr">
        <is>
          <t>VÄSTRA GÖTALANDS LÄN</t>
        </is>
      </c>
      <c r="G198" t="inlineStr">
        <is>
          <t>SKÖVDE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45105</v>
      </c>
      <c r="E199" s="1" t="n">
        <v>46311</v>
      </c>
      <c r="F199" t="inlineStr">
        <is>
          <t>VÄSTRA GÖTALANDS LÄN</t>
        </is>
      </c>
      <c r="G199" t="inlineStr">
        <is>
          <t>SKÖVDE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46202</v>
      </c>
      <c r="E200" s="1" t="n">
        <v>46311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46311</v>
      </c>
      <c r="F201" t="inlineStr">
        <is>
          <t>VÄSTRA GÖTALANDS LÄN</t>
        </is>
      </c>
      <c r="G201" t="inlineStr">
        <is>
          <t>SKÖVDE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46311</v>
      </c>
      <c r="F202" t="inlineStr">
        <is>
          <t>VÄSTRA GÖTALANDS LÄN</t>
        </is>
      </c>
      <c r="G202" t="inlineStr">
        <is>
          <t>SKÖVDE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46311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45947</v>
      </c>
      <c r="E204" s="1" t="n">
        <v>46311</v>
      </c>
      <c r="F204" t="inlineStr">
        <is>
          <t>VÄSTRA GÖTALANDS LÄN</t>
        </is>
      </c>
      <c r="G204" t="inlineStr">
        <is>
          <t>SKÖVDE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46311</v>
      </c>
      <c r="F205" t="inlineStr">
        <is>
          <t>VÄSTRA GÖTALANDS LÄN</t>
        </is>
      </c>
      <c r="G205" t="inlineStr">
        <is>
          <t>SKÖVDE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46311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60117-2021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44495</v>
      </c>
      <c r="E207" s="1" t="n">
        <v>46311</v>
      </c>
      <c r="F207" t="inlineStr">
        <is>
          <t>VÄSTRA GÖTALANDS LÄN</t>
        </is>
      </c>
      <c r="G207" t="inlineStr">
        <is>
          <t>SKÖVDE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46129</v>
      </c>
      <c r="E208" s="1" t="n">
        <v>46311</v>
      </c>
      <c r="F208" t="inlineStr">
        <is>
          <t>VÄSTRA GÖTALANDS LÄN</t>
        </is>
      </c>
      <c r="G208" t="inlineStr">
        <is>
          <t>SKÖVDE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45958</v>
      </c>
      <c r="E209" s="1" t="n">
        <v>46311</v>
      </c>
      <c r="F209" t="inlineStr">
        <is>
          <t>VÄSTRA GÖTALANDS LÄN</t>
        </is>
      </c>
      <c r="G209" t="inlineStr">
        <is>
          <t>SKÖVDE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46272</v>
      </c>
      <c r="E210" s="1" t="n">
        <v>46311</v>
      </c>
      <c r="F210" t="inlineStr">
        <is>
          <t>VÄSTRA GÖTALANDS LÄN</t>
        </is>
      </c>
      <c r="G210" t="inlineStr">
        <is>
          <t>SKÖVDE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36485-2026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46269</v>
      </c>
      <c r="E211" s="1" t="n">
        <v>46311</v>
      </c>
      <c r="F211" t="inlineStr">
        <is>
          <t>VÄSTRA GÖTALANDS LÄN</t>
        </is>
      </c>
      <c r="G211" t="inlineStr">
        <is>
          <t>SKÖVDE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35280-2024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45530</v>
      </c>
      <c r="E212" s="1" t="n">
        <v>46311</v>
      </c>
      <c r="F212" t="inlineStr">
        <is>
          <t>VÄSTRA GÖTALANDS LÄN</t>
        </is>
      </c>
      <c r="G212" t="inlineStr">
        <is>
          <t>SKÖVDE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46311</v>
      </c>
      <c r="F213" t="inlineStr">
        <is>
          <t>VÄSTRA GÖTALANDS LÄN</t>
        </is>
      </c>
      <c r="G213" t="inlineStr">
        <is>
          <t>SKÖVDE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46311</v>
      </c>
      <c r="F214" t="inlineStr">
        <is>
          <t>VÄSTRA GÖTALANDS LÄN</t>
        </is>
      </c>
      <c r="G214" t="inlineStr">
        <is>
          <t>SKÖVDE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46311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45687</v>
      </c>
      <c r="E216" s="1" t="n">
        <v>46311</v>
      </c>
      <c r="F216" t="inlineStr">
        <is>
          <t>VÄSTRA GÖTALANDS LÄN</t>
        </is>
      </c>
      <c r="G216" t="inlineStr">
        <is>
          <t>SKÖVDE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46311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44743</v>
      </c>
      <c r="E218" s="1" t="n">
        <v>46311</v>
      </c>
      <c r="F218" t="inlineStr">
        <is>
          <t>VÄSTRA GÖTALANDS LÄN</t>
        </is>
      </c>
      <c r="G218" t="inlineStr">
        <is>
          <t>SKÖVDE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46311</v>
      </c>
      <c r="F219" t="inlineStr">
        <is>
          <t>VÄSTRA GÖTALANDS LÄN</t>
        </is>
      </c>
      <c r="G219" t="inlineStr">
        <is>
          <t>SKÖVDE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38539-2026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46283</v>
      </c>
      <c r="E220" s="1" t="n">
        <v>46311</v>
      </c>
      <c r="F220" t="inlineStr">
        <is>
          <t>VÄSTRA GÖTALANDS LÄN</t>
        </is>
      </c>
      <c r="G220" t="inlineStr">
        <is>
          <t>SKÖVDE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45082</v>
      </c>
      <c r="E221" s="1" t="n">
        <v>46311</v>
      </c>
      <c r="F221" t="inlineStr">
        <is>
          <t>VÄSTRA GÖTALANDS LÄN</t>
        </is>
      </c>
      <c r="G221" t="inlineStr">
        <is>
          <t>SKÖVDE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46311</v>
      </c>
      <c r="F222" t="inlineStr">
        <is>
          <t>VÄSTRA GÖTALANDS LÄN</t>
        </is>
      </c>
      <c r="G222" t="inlineStr">
        <is>
          <t>SKÖVDE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46311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46288</v>
      </c>
      <c r="E224" s="1" t="n">
        <v>46311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60588-2023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45259</v>
      </c>
      <c r="E225" s="1" t="n">
        <v>46311</v>
      </c>
      <c r="F225" t="inlineStr">
        <is>
          <t>VÄSTRA GÖTALANDS LÄN</t>
        </is>
      </c>
      <c r="G225" t="inlineStr">
        <is>
          <t>SKÖVDE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46311</v>
      </c>
      <c r="F226" t="inlineStr">
        <is>
          <t>VÄSTRA GÖTALANDS LÄN</t>
        </is>
      </c>
      <c r="G226" t="inlineStr">
        <is>
          <t>SKÖVDE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46293</v>
      </c>
      <c r="E227" s="1" t="n">
        <v>46311</v>
      </c>
      <c r="F227" t="inlineStr">
        <is>
          <t>VÄSTRA GÖTALANDS LÄN</t>
        </is>
      </c>
      <c r="G227" t="inlineStr">
        <is>
          <t>SKÖVDE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46311</v>
      </c>
      <c r="F228" t="inlineStr">
        <is>
          <t>VÄSTRA GÖTALANDS LÄN</t>
        </is>
      </c>
      <c r="G228" t="inlineStr">
        <is>
          <t>SKÖVDE</t>
        </is>
      </c>
      <c r="H228" t="inlineStr">
        <is>
          <t>Kommuner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46311</v>
      </c>
      <c r="F229" t="inlineStr">
        <is>
          <t>VÄSTRA GÖTALANDS LÄN</t>
        </is>
      </c>
      <c r="G229" t="inlineStr">
        <is>
          <t>SKÖVDE</t>
        </is>
      </c>
      <c r="H229" t="inlineStr">
        <is>
          <t>Kommuner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46311</v>
      </c>
      <c r="F230" t="inlineStr">
        <is>
          <t>VÄSTRA GÖTALANDS LÄN</t>
        </is>
      </c>
      <c r="G230" t="inlineStr">
        <is>
          <t>SKÖVDE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46311</v>
      </c>
      <c r="F231" t="inlineStr">
        <is>
          <t>VÄSTRA GÖTALANDS LÄN</t>
        </is>
      </c>
      <c r="G231" t="inlineStr">
        <is>
          <t>SKÖVDE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46002</v>
      </c>
      <c r="E232" s="1" t="n">
        <v>46311</v>
      </c>
      <c r="F232" t="inlineStr">
        <is>
          <t>VÄSTRA GÖTALANDS LÄN</t>
        </is>
      </c>
      <c r="G232" t="inlineStr">
        <is>
          <t>SKÖVDE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46311</v>
      </c>
      <c r="F233" t="inlineStr">
        <is>
          <t>VÄSTRA GÖTALANDS LÄN</t>
        </is>
      </c>
      <c r="G233" t="inlineStr">
        <is>
          <t>SKÖVDE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46311</v>
      </c>
      <c r="F234" t="inlineStr">
        <is>
          <t>VÄSTRA GÖTALANDS LÄN</t>
        </is>
      </c>
      <c r="G234" t="inlineStr">
        <is>
          <t>SKÖVDE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46253</v>
      </c>
      <c r="E235" s="1" t="n">
        <v>46311</v>
      </c>
      <c r="F235" t="inlineStr">
        <is>
          <t>VÄSTRA GÖTALANDS LÄN</t>
        </is>
      </c>
      <c r="G235" t="inlineStr">
        <is>
          <t>SKÖVDE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62811-2025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46311</v>
      </c>
      <c r="F236" t="inlineStr">
        <is>
          <t>VÄSTRA GÖTALANDS LÄN</t>
        </is>
      </c>
      <c r="G236" t="inlineStr">
        <is>
          <t>SKÖVDE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62803-2025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46008</v>
      </c>
      <c r="E237" s="1" t="n">
        <v>46311</v>
      </c>
      <c r="F237" t="inlineStr">
        <is>
          <t>VÄSTRA GÖTALANDS LÄN</t>
        </is>
      </c>
      <c r="G237" t="inlineStr">
        <is>
          <t>SKÖVDE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46311</v>
      </c>
      <c r="F238" t="inlineStr">
        <is>
          <t>VÄSTRA GÖTALANDS LÄN</t>
        </is>
      </c>
      <c r="G238" t="inlineStr">
        <is>
          <t>SKÖVDE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46311</v>
      </c>
      <c r="F239" t="inlineStr">
        <is>
          <t>VÄSTRA GÖTALANDS LÄN</t>
        </is>
      </c>
      <c r="G239" t="inlineStr">
        <is>
          <t>SKÖVDE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45710</v>
      </c>
      <c r="E240" s="1" t="n">
        <v>46311</v>
      </c>
      <c r="F240" t="inlineStr">
        <is>
          <t>VÄSTRA GÖTALANDS LÄN</t>
        </is>
      </c>
      <c r="G240" t="inlineStr">
        <is>
          <t>SKÖVDE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46311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46311</v>
      </c>
      <c r="F242" t="inlineStr">
        <is>
          <t>VÄSTRA GÖTALANDS LÄN</t>
        </is>
      </c>
      <c r="G242" t="inlineStr">
        <is>
          <t>SKÖVDE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45142</v>
      </c>
      <c r="E243" s="1" t="n">
        <v>46311</v>
      </c>
      <c r="F243" t="inlineStr">
        <is>
          <t>VÄSTRA GÖTALANDS LÄN</t>
        </is>
      </c>
      <c r="G243" t="inlineStr">
        <is>
          <t>SKÖVDE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46017</v>
      </c>
      <c r="E244" s="1" t="n">
        <v>46311</v>
      </c>
      <c r="F244" t="inlineStr">
        <is>
          <t>VÄSTRA GÖTALANDS LÄN</t>
        </is>
      </c>
      <c r="G244" t="inlineStr">
        <is>
          <t>SKÖVDE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45734</v>
      </c>
      <c r="E245" s="1" t="n">
        <v>46311</v>
      </c>
      <c r="F245" t="inlineStr">
        <is>
          <t>VÄSTRA GÖTALANDS LÄN</t>
        </is>
      </c>
      <c r="G245" t="inlineStr">
        <is>
          <t>SKÖVDE</t>
        </is>
      </c>
      <c r="H245" t="inlineStr">
        <is>
          <t>Kommuner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45796</v>
      </c>
      <c r="E246" s="1" t="n">
        <v>46311</v>
      </c>
      <c r="F246" t="inlineStr">
        <is>
          <t>VÄSTRA GÖTALANDS LÄN</t>
        </is>
      </c>
      <c r="G246" t="inlineStr">
        <is>
          <t>SKÖVDE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45334</v>
      </c>
      <c r="E247" s="1" t="n">
        <v>46311</v>
      </c>
      <c r="F247" t="inlineStr">
        <is>
          <t>VÄSTRA GÖTALANDS LÄN</t>
        </is>
      </c>
      <c r="G247" t="inlineStr">
        <is>
          <t>SKÖVDE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46311</v>
      </c>
      <c r="F248" t="inlineStr">
        <is>
          <t>VÄSTRA GÖTALANDS LÄN</t>
        </is>
      </c>
      <c r="G248" t="inlineStr">
        <is>
          <t>SKÖVDE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6092-2026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46052</v>
      </c>
      <c r="E249" s="1" t="n">
        <v>46311</v>
      </c>
      <c r="F249" t="inlineStr">
        <is>
          <t>VÄSTRA GÖTALANDS LÄN</t>
        </is>
      </c>
      <c r="G249" t="inlineStr">
        <is>
          <t>SKÖVDE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46051</v>
      </c>
      <c r="E250" s="1" t="n">
        <v>46311</v>
      </c>
      <c r="F250" t="inlineStr">
        <is>
          <t>VÄSTRA GÖTALANDS LÄN</t>
        </is>
      </c>
      <c r="G250" t="inlineStr">
        <is>
          <t>SKÖVDE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46311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Övriga statliga verk och myndigheter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46311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Övriga statliga verk och myndigheter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46311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Övriga statliga verk och myndigheter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63729-2025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46311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Övriga statliga verk och myndigheter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46311</v>
      </c>
      <c r="F255" t="inlineStr">
        <is>
          <t>VÄSTRA GÖTALANDS LÄN</t>
        </is>
      </c>
      <c r="G255" t="inlineStr">
        <is>
          <t>SKÖVDE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46311</v>
      </c>
      <c r="F256" t="inlineStr">
        <is>
          <t>VÄSTRA GÖTALANDS LÄN</t>
        </is>
      </c>
      <c r="G256" t="inlineStr">
        <is>
          <t>SKÖVDE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46311</v>
      </c>
      <c r="F257" t="inlineStr">
        <is>
          <t>VÄSTRA GÖTALANDS LÄN</t>
        </is>
      </c>
      <c r="G257" t="inlineStr">
        <is>
          <t>SKÖVDE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46091</v>
      </c>
      <c r="E258" s="1" t="n">
        <v>46311</v>
      </c>
      <c r="F258" t="inlineStr">
        <is>
          <t>VÄSTRA GÖTALANDS LÄN</t>
        </is>
      </c>
      <c r="G258" t="inlineStr">
        <is>
          <t>SKÖVDE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46311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46311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2026-10-16T02:17:17Z</dcterms:created>
  <dcterms:modified xmlns:dcterms="http://purl.org/dc/terms/" xmlns:xsi="http://www.w3.org/2001/XMLSchema-instance" xsi:type="dcterms:W3CDTF">2026-10-16T02:17:18Z</dcterms:modified>
</cp:coreProperties>
</file>