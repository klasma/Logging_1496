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46317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46317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46317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46317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46317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46317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46317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46317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46317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46317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46317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46317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46317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46317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46317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46317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46317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46317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31621-2024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45506</v>
      </c>
      <c r="E20" s="1" t="n">
        <v>46317</v>
      </c>
      <c r="F20" t="inlineStr">
        <is>
          <t>VÄSTRA GÖTALANDS LÄN</t>
        </is>
      </c>
      <c r="G20" t="inlineStr">
        <is>
          <t>SKÖVDE</t>
        </is>
      </c>
      <c r="I20" t="n">
        <v>1.3</v>
      </c>
      <c r="J20" t="n">
        <v>0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3</v>
      </c>
      <c r="T20" t="n">
        <v>3</v>
      </c>
      <c r="U20" t="n">
        <v>0</v>
      </c>
      <c r="V20" s="2" t="inlineStr">
        <is>
          <t>Ask
Plattsäv
Majviva</t>
        </is>
      </c>
      <c r="W20">
        <f>HYPERLINK("https://klasma.github.io/Logging_1496/artfynd/A 31621-2024 artfynd.xlsx", "A 31621-2024")</f>
        <v/>
      </c>
      <c r="X20">
        <f>HYPERLINK("https://klasma.github.io/Logging_1496/kartor/A 31621-2024 karta.png", "A 31621-2024")</f>
        <v/>
      </c>
      <c r="Y20">
        <f>HYPERLINK("https://klasma.github.io/Logging_1496/kartor_geotiff/A 31621-2024 georefererad karta.tif", "A 31621-2024")</f>
        <v/>
      </c>
      <c r="AA20">
        <f>HYPERLINK("https://klasma.github.io/Logging_1496/klagomål/A 31621-2024 FSC-klagomål.docx", "A 31621-2024")</f>
        <v/>
      </c>
      <c r="AB20">
        <f>HYPERLINK("https://klasma.github.io/Logging_1496/klagomålsmail/A 31621-2024 FSC-klagomål mail.docx", "A 31621-2024")</f>
        <v/>
      </c>
      <c r="AC20">
        <f>HYPERLINK("https://klasma.github.io/Logging_1496/tillsyn/A 31621-2024 tillsynsbegäran.docx", "A 31621-2024")</f>
        <v/>
      </c>
      <c r="AD20">
        <f>HYPERLINK("https://klasma.github.io/Logging_1496/tillsynsmail/A 31621-2024 tillsynsbegäran mail.docx", "A 31621-2024")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46317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46317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46317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46317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46317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46317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39624-2026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46289</v>
      </c>
      <c r="E27" s="1" t="n">
        <v>46317</v>
      </c>
      <c r="F27" t="inlineStr">
        <is>
          <t>VÄSTRA GÖTALANDS LÄN</t>
        </is>
      </c>
      <c r="G27" t="inlineStr">
        <is>
          <t>SKÖVDE</t>
        </is>
      </c>
      <c r="I27" t="n">
        <v>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Skogsbräsma
Grönvit nattviol</t>
        </is>
      </c>
      <c r="W27">
        <f>HYPERLINK("https://klasma.github.io/Logging_1496/artfynd/A 39624-2026 artfynd.xlsx", "A 39624-2026")</f>
        <v/>
      </c>
      <c r="X27">
        <f>HYPERLINK("https://klasma.github.io/Logging_1496/kartor/A 39624-2026 karta.png", "A 39624-2026")</f>
        <v/>
      </c>
      <c r="Y27">
        <f>HYPERLINK("https://klasma.github.io/Logging_1496/kartor_geotiff/A 39624-2026 georefererad karta.tif", "A 39624-2026")</f>
        <v/>
      </c>
      <c r="AA27">
        <f>HYPERLINK("https://klasma.github.io/Logging_1496/klagomål/A 39624-2026 FSC-klagomål.docx", "A 39624-2026")</f>
        <v/>
      </c>
      <c r="AB27">
        <f>HYPERLINK("https://klasma.github.io/Logging_1496/klagomålsmail/A 39624-2026 FSC-klagomål mail.docx", "A 39624-2026")</f>
        <v/>
      </c>
      <c r="AC27">
        <f>HYPERLINK("https://klasma.github.io/Logging_1496/tillsyn/A 39624-2026 tillsynsbegäran.docx", "A 39624-2026")</f>
        <v/>
      </c>
      <c r="AD27">
        <f>HYPERLINK("https://klasma.github.io/Logging_1496/tillsynsmail/A 39624-2026 tillsynsbegäran mail.docx", "A 39624-2026")</f>
        <v/>
      </c>
    </row>
    <row r="28" ht="15" customHeight="1">
      <c r="A28" t="inlineStr">
        <is>
          <t>A 14964-2025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45743</v>
      </c>
      <c r="E28" s="1" t="n">
        <v>46317</v>
      </c>
      <c r="F28" t="inlineStr">
        <is>
          <t>VÄSTRA GÖTALANDS LÄN</t>
        </is>
      </c>
      <c r="G28" t="inlineStr">
        <is>
          <t>SKÖVDE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Skogsalm
Gullpudra</t>
        </is>
      </c>
      <c r="W28">
        <f>HYPERLINK("https://klasma.github.io/Logging_1496/artfynd/A 14964-2025 artfynd.xlsx", "A 14964-2025")</f>
        <v/>
      </c>
      <c r="X28">
        <f>HYPERLINK("https://klasma.github.io/Logging_1496/kartor/A 14964-2025 karta.png", "A 14964-2025")</f>
        <v/>
      </c>
      <c r="Y28">
        <f>HYPERLINK("https://klasma.github.io/Logging_1496/kartor_geotiff/A 14964-2025 georefererad karta.tif", "A 14964-2025")</f>
        <v/>
      </c>
      <c r="AA28">
        <f>HYPERLINK("https://klasma.github.io/Logging_1496/klagomål/A 14964-2025 FSC-klagomål.docx", "A 14964-2025")</f>
        <v/>
      </c>
      <c r="AB28">
        <f>HYPERLINK("https://klasma.github.io/Logging_1496/klagomålsmail/A 14964-2025 FSC-klagomål mail.docx", "A 14964-2025")</f>
        <v/>
      </c>
      <c r="AC28">
        <f>HYPERLINK("https://klasma.github.io/Logging_1496/tillsyn/A 14964-2025 tillsynsbegäran.docx", "A 14964-2025")</f>
        <v/>
      </c>
      <c r="AD28">
        <f>HYPERLINK("https://klasma.github.io/Logging_1496/tillsynsmail/A 14964-2025 tillsynsbegäran mail.docx", "A 14964-2025")</f>
        <v/>
      </c>
    </row>
    <row r="29" ht="15" customHeight="1">
      <c r="A29" t="inlineStr">
        <is>
          <t>A 25093-2025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46317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2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Ask
Skogsalm</t>
        </is>
      </c>
      <c r="W29">
        <f>HYPERLINK("https://klasma.github.io/Logging_1496/artfynd/A 25093-2025 artfynd.xlsx", "A 25093-2025")</f>
        <v/>
      </c>
      <c r="X29">
        <f>HYPERLINK("https://klasma.github.io/Logging_1496/kartor/A 25093-2025 karta.png", "A 25093-2025")</f>
        <v/>
      </c>
      <c r="Y29">
        <f>HYPERLINK("https://klasma.github.io/Logging_1496/kartor_geotiff/A 25093-2025 georefererad karta.tif", "A 25093-2025")</f>
        <v/>
      </c>
      <c r="AA29">
        <f>HYPERLINK("https://klasma.github.io/Logging_1496/klagomål/A 25093-2025 FSC-klagomål.docx", "A 25093-2025")</f>
        <v/>
      </c>
      <c r="AB29">
        <f>HYPERLINK("https://klasma.github.io/Logging_1496/klagomålsmail/A 25093-2025 FSC-klagomål mail.docx", "A 25093-2025")</f>
        <v/>
      </c>
      <c r="AC29">
        <f>HYPERLINK("https://klasma.github.io/Logging_1496/tillsyn/A 25093-2025 tillsynsbegäran.docx", "A 25093-2025")</f>
        <v/>
      </c>
      <c r="AD29">
        <f>HYPERLINK("https://klasma.github.io/Logging_1496/tillsynsmail/A 25093-2025 tillsynsbegäran mail.docx", "A 25093-2025")</f>
        <v/>
      </c>
    </row>
    <row r="30" ht="15" customHeight="1">
      <c r="A30" t="inlineStr">
        <is>
          <t>A 27109-2024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46317</v>
      </c>
      <c r="F30" t="inlineStr">
        <is>
          <t>VÄSTRA GÖTALANDS LÄN</t>
        </is>
      </c>
      <c r="G30" t="inlineStr">
        <is>
          <t>SKÖVDE</t>
        </is>
      </c>
      <c r="I30" t="n">
        <v>2.7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Backstarr
Jungfrulin</t>
        </is>
      </c>
      <c r="W30">
        <f>HYPERLINK("https://klasma.github.io/Logging_1496/artfynd/A 27109-2024 artfynd.xlsx", "A 27109-2024")</f>
        <v/>
      </c>
      <c r="X30">
        <f>HYPERLINK("https://klasma.github.io/Logging_1496/kartor/A 27109-2024 karta.png", "A 27109-2024")</f>
        <v/>
      </c>
      <c r="Y30">
        <f>HYPERLINK("https://klasma.github.io/Logging_1496/kartor_geotiff/A 27109-2024 georefererad karta.tif", "A 27109-2024")</f>
        <v/>
      </c>
      <c r="AA30">
        <f>HYPERLINK("https://klasma.github.io/Logging_1496/klagomål/A 27109-2024 FSC-klagomål.docx", "A 27109-2024")</f>
        <v/>
      </c>
      <c r="AB30">
        <f>HYPERLINK("https://klasma.github.io/Logging_1496/klagomålsmail/A 27109-2024 FSC-klagomål mail.docx", "A 27109-2024")</f>
        <v/>
      </c>
      <c r="AC30">
        <f>HYPERLINK("https://klasma.github.io/Logging_1496/tillsyn/A 27109-2024 tillsynsbegäran.docx", "A 27109-2024")</f>
        <v/>
      </c>
      <c r="AD30">
        <f>HYPERLINK("https://klasma.github.io/Logging_1496/tillsynsmail/A 27109-2024 tillsynsbegäran mail.docx", "A 27109-2024")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46317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60172-2021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46317</v>
      </c>
      <c r="F32" t="inlineStr">
        <is>
          <t>VÄSTRA GÖTALANDS LÄN</t>
        </is>
      </c>
      <c r="G32" t="inlineStr">
        <is>
          <t>SKÖVDE</t>
        </is>
      </c>
      <c r="I32" t="n">
        <v>1.4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Skogsbräsma
Fläcknycklar</t>
        </is>
      </c>
      <c r="W32">
        <f>HYPERLINK("https://klasma.github.io/Logging_1496/artfynd/A 60172-2021 artfynd.xlsx", "A 60172-2021")</f>
        <v/>
      </c>
      <c r="X32">
        <f>HYPERLINK("https://klasma.github.io/Logging_1496/kartor/A 60172-2021 karta.png", "A 60172-2021")</f>
        <v/>
      </c>
      <c r="Y32">
        <f>HYPERLINK("https://klasma.github.io/Logging_1496/kartor_geotiff/A 60172-2021 georefererad karta.tif", "A 60172-2021")</f>
        <v/>
      </c>
      <c r="AA32">
        <f>HYPERLINK("https://klasma.github.io/Logging_1496/klagomål/A 60172-2021 FSC-klagomål.docx", "A 60172-2021")</f>
        <v/>
      </c>
      <c r="AB32">
        <f>HYPERLINK("https://klasma.github.io/Logging_1496/klagomålsmail/A 60172-2021 FSC-klagomål mail.docx", "A 60172-2021")</f>
        <v/>
      </c>
      <c r="AC32">
        <f>HYPERLINK("https://klasma.github.io/Logging_1496/tillsyn/A 60172-2021 tillsynsbegäran.docx", "A 60172-2021")</f>
        <v/>
      </c>
      <c r="AD32">
        <f>HYPERLINK("https://klasma.github.io/Logging_1496/tillsynsmail/A 60172-2021 tillsynsbegäran mail.docx", "A 60172-2021")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46317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46317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24383-2025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46317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0.8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Mindre hackspett
Åkergroda</t>
        </is>
      </c>
      <c r="W35">
        <f>HYPERLINK("https://klasma.github.io/Logging_1496/artfynd/A 24383-2025 artfynd.xlsx", "A 24383-2025")</f>
        <v/>
      </c>
      <c r="X35">
        <f>HYPERLINK("https://klasma.github.io/Logging_1496/kartor/A 24383-2025 karta.png", "A 24383-2025")</f>
        <v/>
      </c>
      <c r="Y35">
        <f>HYPERLINK("https://klasma.github.io/Logging_1496/kartor_geotiff/A 24383-2025 georefererad karta.tif", "A 24383-2025")</f>
        <v/>
      </c>
      <c r="AA35">
        <f>HYPERLINK("https://klasma.github.io/Logging_1496/klagomål/A 24383-2025 FSC-klagomål.docx", "A 24383-2025")</f>
        <v/>
      </c>
      <c r="AB35">
        <f>HYPERLINK("https://klasma.github.io/Logging_1496/klagomålsmail/A 24383-2025 FSC-klagomål mail.docx", "A 24383-2025")</f>
        <v/>
      </c>
      <c r="AC35">
        <f>HYPERLINK("https://klasma.github.io/Logging_1496/tillsyn/A 24383-2025 tillsynsbegäran.docx", "A 24383-2025")</f>
        <v/>
      </c>
      <c r="AD35">
        <f>HYPERLINK("https://klasma.github.io/Logging_1496/tillsynsmail/A 24383-2025 tillsynsbegäran mail.docx", "A 24383-2025")</f>
        <v/>
      </c>
      <c r="AE35">
        <f>HYPERLINK("https://klasma.github.io/Logging_1496/fåglar/A 24383-2025 prioriterade fågelarter.docx", "A 24383-2025")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46317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46317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42017-2025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46317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Borsttåg
Mattlummer</t>
        </is>
      </c>
      <c r="W38">
        <f>HYPERLINK("https://klasma.github.io/Logging_1496/artfynd/A 42017-2025 artfynd.xlsx", "A 42017-2025")</f>
        <v/>
      </c>
      <c r="X38">
        <f>HYPERLINK("https://klasma.github.io/Logging_1496/kartor/A 42017-2025 karta.png", "A 42017-2025")</f>
        <v/>
      </c>
      <c r="Y38">
        <f>HYPERLINK("https://klasma.github.io/Logging_1496/kartor_geotiff/A 42017-2025 georefererad karta.tif", "A 42017-2025")</f>
        <v/>
      </c>
      <c r="AA38">
        <f>HYPERLINK("https://klasma.github.io/Logging_1496/klagomål/A 42017-2025 FSC-klagomål.docx", "A 42017-2025")</f>
        <v/>
      </c>
      <c r="AB38">
        <f>HYPERLINK("https://klasma.github.io/Logging_1496/klagomålsmail/A 42017-2025 FSC-klagomål mail.docx", "A 42017-2025")</f>
        <v/>
      </c>
      <c r="AC38">
        <f>HYPERLINK("https://klasma.github.io/Logging_1496/tillsyn/A 42017-2025 tillsynsbegäran.docx", "A 42017-2025")</f>
        <v/>
      </c>
      <c r="AD38">
        <f>HYPERLINK("https://klasma.github.io/Logging_1496/tillsynsmail/A 42017-2025 tillsynsbegäran mail.docx", "A 42017-2025")</f>
        <v/>
      </c>
    </row>
    <row r="39" ht="15" customHeight="1">
      <c r="A39" t="inlineStr">
        <is>
          <t>A 58467-2024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45635</v>
      </c>
      <c r="E39" s="1" t="n">
        <v>46317</v>
      </c>
      <c r="F39" t="inlineStr">
        <is>
          <t>VÄSTRA GÖTALANDS LÄN</t>
        </is>
      </c>
      <c r="G39" t="inlineStr">
        <is>
          <t>SKÖVDE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Sommarfibbla
Mattlummer</t>
        </is>
      </c>
      <c r="W39">
        <f>HYPERLINK("https://klasma.github.io/Logging_1496/artfynd/A 58467-2024 artfynd.xlsx", "A 58467-2024")</f>
        <v/>
      </c>
      <c r="X39">
        <f>HYPERLINK("https://klasma.github.io/Logging_1496/kartor/A 58467-2024 karta.png", "A 58467-2024")</f>
        <v/>
      </c>
      <c r="Y39">
        <f>HYPERLINK("https://klasma.github.io/Logging_1496/kartor_geotiff/A 58467-2024 georefererad karta.tif", "A 58467-2024")</f>
        <v/>
      </c>
      <c r="AA39">
        <f>HYPERLINK("https://klasma.github.io/Logging_1496/klagomål/A 58467-2024 FSC-klagomål.docx", "A 58467-2024")</f>
        <v/>
      </c>
      <c r="AB39">
        <f>HYPERLINK("https://klasma.github.io/Logging_1496/klagomålsmail/A 58467-2024 FSC-klagomål mail.docx", "A 58467-2024")</f>
        <v/>
      </c>
      <c r="AC39">
        <f>HYPERLINK("https://klasma.github.io/Logging_1496/tillsyn/A 58467-2024 tillsynsbegäran.docx", "A 58467-2024")</f>
        <v/>
      </c>
      <c r="AD39">
        <f>HYPERLINK("https://klasma.github.io/Logging_1496/tillsynsmail/A 58467-2024 tillsynsbegäran mail.docx", "A 58467-2024")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46317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46317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26712-2025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46317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HYPERLINK("https://klasma.github.io/Logging_1496/artfynd/A 26712-2025 artfynd.xlsx", "A 26712-2025")</f>
        <v/>
      </c>
      <c r="X42">
        <f>HYPERLINK("https://klasma.github.io/Logging_1496/kartor/A 26712-2025 karta.png", "A 26712-2025")</f>
        <v/>
      </c>
      <c r="Y42">
        <f>HYPERLINK("https://klasma.github.io/Logging_1496/kartor_geotiff/A 26712-2025 georefererad karta.tif", "A 26712-2025")</f>
        <v/>
      </c>
      <c r="AA42">
        <f>HYPERLINK("https://klasma.github.io/Logging_1496/klagomål/A 26712-2025 FSC-klagomål.docx", "A 26712-2025")</f>
        <v/>
      </c>
      <c r="AB42">
        <f>HYPERLINK("https://klasma.github.io/Logging_1496/klagomålsmail/A 26712-2025 FSC-klagomål mail.docx", "A 26712-2025")</f>
        <v/>
      </c>
      <c r="AC42">
        <f>HYPERLINK("https://klasma.github.io/Logging_1496/tillsyn/A 26712-2025 tillsynsbegäran.docx", "A 26712-2025")</f>
        <v/>
      </c>
      <c r="AD42">
        <f>HYPERLINK("https://klasma.github.io/Logging_1496/tillsynsmail/A 26712-2025 tillsynsbegäran mail.docx", "A 26712-2025")</f>
        <v/>
      </c>
    </row>
    <row r="43" ht="15" customHeight="1">
      <c r="A43" t="inlineStr">
        <is>
          <t>A 47869-2025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45932</v>
      </c>
      <c r="E43" s="1" t="n">
        <v>46317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Backmåra</t>
        </is>
      </c>
      <c r="W43">
        <f>HYPERLINK("https://klasma.github.io/Logging_1496/artfynd/A 47869-2025 artfynd.xlsx", "A 47869-2025")</f>
        <v/>
      </c>
      <c r="X43">
        <f>HYPERLINK("https://klasma.github.io/Logging_1496/kartor/A 47869-2025 karta.png", "A 47869-2025")</f>
        <v/>
      </c>
      <c r="Y43">
        <f>HYPERLINK("https://klasma.github.io/Logging_1496/kartor_geotiff/A 47869-2025 georefererad karta.tif", "A 47869-2025")</f>
        <v/>
      </c>
      <c r="AA43">
        <f>HYPERLINK("https://klasma.github.io/Logging_1496/klagomål/A 47869-2025 FSC-klagomål.docx", "A 47869-2025")</f>
        <v/>
      </c>
      <c r="AB43">
        <f>HYPERLINK("https://klasma.github.io/Logging_1496/klagomålsmail/A 47869-2025 FSC-klagomål mail.docx", "A 47869-2025")</f>
        <v/>
      </c>
      <c r="AC43">
        <f>HYPERLINK("https://klasma.github.io/Logging_1496/tillsyn/A 47869-2025 tillsynsbegäran.docx", "A 47869-2025")</f>
        <v/>
      </c>
      <c r="AD43">
        <f>HYPERLINK("https://klasma.github.io/Logging_1496/tillsynsmail/A 47869-2025 tillsynsbegäran mail.docx", "A 47869-2025")</f>
        <v/>
      </c>
    </row>
    <row r="44" ht="15" customHeight="1">
      <c r="A44" t="inlineStr">
        <is>
          <t>A 4464-2026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46045</v>
      </c>
      <c r="E44" s="1" t="n">
        <v>46317</v>
      </c>
      <c r="F44" t="inlineStr">
        <is>
          <t>VÄSTRA GÖTALANDS LÄN</t>
        </is>
      </c>
      <c r="G44" t="inlineStr">
        <is>
          <t>SKÖVDE</t>
        </is>
      </c>
      <c r="I44" t="n">
        <v>0.7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Myskmadra</t>
        </is>
      </c>
      <c r="W44">
        <f>HYPERLINK("https://klasma.github.io/Logging_1496/artfynd/A 4464-2026 artfynd.xlsx", "A 4464-2026")</f>
        <v/>
      </c>
      <c r="X44">
        <f>HYPERLINK("https://klasma.github.io/Logging_1496/kartor/A 4464-2026 karta.png", "A 4464-2026")</f>
        <v/>
      </c>
      <c r="Y44">
        <f>HYPERLINK("https://klasma.github.io/Logging_1496/kartor_geotiff/A 4464-2026 georefererad karta.tif", "A 4464-2026")</f>
        <v/>
      </c>
      <c r="AA44">
        <f>HYPERLINK("https://klasma.github.io/Logging_1496/klagomål/A 4464-2026 FSC-klagomål.docx", "A 4464-2026")</f>
        <v/>
      </c>
      <c r="AB44">
        <f>HYPERLINK("https://klasma.github.io/Logging_1496/klagomålsmail/A 4464-2026 FSC-klagomål mail.docx", "A 4464-2026")</f>
        <v/>
      </c>
      <c r="AC44">
        <f>HYPERLINK("https://klasma.github.io/Logging_1496/tillsyn/A 4464-2026 tillsynsbegäran.docx", "A 4464-2026")</f>
        <v/>
      </c>
      <c r="AD44">
        <f>HYPERLINK("https://klasma.github.io/Logging_1496/tillsynsmail/A 4464-2026 tillsynsbegäran mail.docx", "A 4464-2026")</f>
        <v/>
      </c>
    </row>
    <row r="45" ht="15" customHeight="1">
      <c r="A45" t="inlineStr">
        <is>
          <t>A 6093-2026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46052</v>
      </c>
      <c r="E45" s="1" t="n">
        <v>46317</v>
      </c>
      <c r="F45" t="inlineStr">
        <is>
          <t>VÄSTRA GÖTALANDS LÄN</t>
        </is>
      </c>
      <c r="G45" t="inlineStr">
        <is>
          <t>SKÖVDE</t>
        </is>
      </c>
      <c r="I45" t="n">
        <v>5.8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Svinrot</t>
        </is>
      </c>
      <c r="W45">
        <f>HYPERLINK("https://klasma.github.io/Logging_1496/artfynd/A 6093-2026 artfynd.xlsx", "A 6093-2026")</f>
        <v/>
      </c>
      <c r="X45">
        <f>HYPERLINK("https://klasma.github.io/Logging_1496/kartor/A 6093-2026 karta.png", "A 6093-2026")</f>
        <v/>
      </c>
      <c r="Y45">
        <f>HYPERLINK("https://klasma.github.io/Logging_1496/kartor_geotiff/A 6093-2026 georefererad karta.tif", "A 6093-2026")</f>
        <v/>
      </c>
      <c r="AA45">
        <f>HYPERLINK("https://klasma.github.io/Logging_1496/klagomål/A 6093-2026 FSC-klagomål.docx", "A 6093-2026")</f>
        <v/>
      </c>
      <c r="AB45">
        <f>HYPERLINK("https://klasma.github.io/Logging_1496/klagomålsmail/A 6093-2026 FSC-klagomål mail.docx", "A 6093-2026")</f>
        <v/>
      </c>
      <c r="AC45">
        <f>HYPERLINK("https://klasma.github.io/Logging_1496/tillsyn/A 6093-2026 tillsynsbegäran.docx", "A 6093-2026")</f>
        <v/>
      </c>
      <c r="AD45">
        <f>HYPERLINK("https://klasma.github.io/Logging_1496/tillsynsmail/A 6093-2026 tillsynsbegäran mail.docx", "A 6093-2026")</f>
        <v/>
      </c>
    </row>
    <row r="46" ht="15" customHeight="1">
      <c r="A46" t="inlineStr">
        <is>
          <t>A 61213-2024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46317</v>
      </c>
      <c r="F46" t="inlineStr">
        <is>
          <t>VÄSTRA GÖTALANDS LÄN</t>
        </is>
      </c>
      <c r="G46" t="inlineStr">
        <is>
          <t>SKÖVDE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Skogsbräsma</t>
        </is>
      </c>
      <c r="W46">
        <f>HYPERLINK("https://klasma.github.io/Logging_1496/artfynd/A 61213-2024 artfynd.xlsx", "A 61213-2024")</f>
        <v/>
      </c>
      <c r="X46">
        <f>HYPERLINK("https://klasma.github.io/Logging_1496/kartor/A 61213-2024 karta.png", "A 61213-2024")</f>
        <v/>
      </c>
      <c r="Y46">
        <f>HYPERLINK("https://klasma.github.io/Logging_1496/kartor_geotiff/A 61213-2024 georefererad karta.tif", "A 61213-2024")</f>
        <v/>
      </c>
      <c r="AA46">
        <f>HYPERLINK("https://klasma.github.io/Logging_1496/klagomål/A 61213-2024 FSC-klagomål.docx", "A 61213-2024")</f>
        <v/>
      </c>
      <c r="AB46">
        <f>HYPERLINK("https://klasma.github.io/Logging_1496/klagomålsmail/A 61213-2024 FSC-klagomål mail.docx", "A 61213-2024")</f>
        <v/>
      </c>
      <c r="AC46">
        <f>HYPERLINK("https://klasma.github.io/Logging_1496/tillsyn/A 61213-2024 tillsynsbegäran.docx", "A 61213-2024")</f>
        <v/>
      </c>
      <c r="AD46">
        <f>HYPERLINK("https://klasma.github.io/Logging_1496/tillsynsmail/A 61213-2024 tillsynsbegäran mail.docx", "A 61213-2024")</f>
        <v/>
      </c>
    </row>
    <row r="47" ht="15" customHeight="1">
      <c r="A47" t="inlineStr">
        <is>
          <t>A 17070-2025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46317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0.9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HYPERLINK("https://klasma.github.io/Logging_1496/artfynd/A 17070-2025 artfynd.xlsx", "A 17070-2025")</f>
        <v/>
      </c>
      <c r="X47">
        <f>HYPERLINK("https://klasma.github.io/Logging_1496/kartor/A 17070-2025 karta.png", "A 17070-2025")</f>
        <v/>
      </c>
      <c r="Y47">
        <f>HYPERLINK("https://klasma.github.io/Logging_1496/kartor_geotiff/A 17070-2025 georefererad karta.tif", "A 17070-2025")</f>
        <v/>
      </c>
      <c r="AA47">
        <f>HYPERLINK("https://klasma.github.io/Logging_1496/klagomål/A 17070-2025 FSC-klagomål.docx", "A 17070-2025")</f>
        <v/>
      </c>
      <c r="AB47">
        <f>HYPERLINK("https://klasma.github.io/Logging_1496/klagomålsmail/A 17070-2025 FSC-klagomål mail.docx", "A 17070-2025")</f>
        <v/>
      </c>
      <c r="AC47">
        <f>HYPERLINK("https://klasma.github.io/Logging_1496/tillsyn/A 17070-2025 tillsynsbegäran.docx", "A 17070-2025")</f>
        <v/>
      </c>
      <c r="AD47">
        <f>HYPERLINK("https://klasma.github.io/Logging_1496/tillsynsmail/A 17070-2025 tillsynsbegäran mail.docx", "A 17070-2025")</f>
        <v/>
      </c>
    </row>
    <row r="48" ht="15" customHeight="1">
      <c r="A48" t="inlineStr">
        <is>
          <t>A 29011-2023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45104</v>
      </c>
      <c r="E48" s="1" t="n">
        <v>46317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5.4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Skogsbräsma</t>
        </is>
      </c>
      <c r="W48">
        <f>HYPERLINK("https://klasma.github.io/Logging_1496/artfynd/A 29011-2023 artfynd.xlsx", "A 29011-2023")</f>
        <v/>
      </c>
      <c r="X48">
        <f>HYPERLINK("https://klasma.github.io/Logging_1496/kartor/A 29011-2023 karta.png", "A 29011-2023")</f>
        <v/>
      </c>
      <c r="Y48">
        <f>HYPERLINK("https://klasma.github.io/Logging_1496/kartor_geotiff/A 29011-2023 georefererad karta.tif", "A 29011-2023")</f>
        <v/>
      </c>
      <c r="AA48">
        <f>HYPERLINK("https://klasma.github.io/Logging_1496/klagomål/A 29011-2023 FSC-klagomål.docx", "A 29011-2023")</f>
        <v/>
      </c>
      <c r="AB48">
        <f>HYPERLINK("https://klasma.github.io/Logging_1496/klagomålsmail/A 29011-2023 FSC-klagomål mail.docx", "A 29011-2023")</f>
        <v/>
      </c>
      <c r="AC48">
        <f>HYPERLINK("https://klasma.github.io/Logging_1496/tillsyn/A 29011-2023 tillsynsbegäran.docx", "A 29011-2023")</f>
        <v/>
      </c>
      <c r="AD48">
        <f>HYPERLINK("https://klasma.github.io/Logging_1496/tillsynsmail/A 29011-2023 tillsynsbegäran mail.docx", "A 29011-2023")</f>
        <v/>
      </c>
    </row>
    <row r="49" ht="15" customHeight="1">
      <c r="A49" t="inlineStr">
        <is>
          <t>A 10602-2023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44988</v>
      </c>
      <c r="E49" s="1" t="n">
        <v>46317</v>
      </c>
      <c r="F49" t="inlineStr">
        <is>
          <t>VÄSTRA GÖTALANDS LÄN</t>
        </is>
      </c>
      <c r="G49" t="inlineStr">
        <is>
          <t>SKÖVDE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HYPERLINK("https://klasma.github.io/Logging_1496/artfynd/A 10602-2023 artfynd.xlsx", "A 10602-2023")</f>
        <v/>
      </c>
      <c r="X49">
        <f>HYPERLINK("https://klasma.github.io/Logging_1496/kartor/A 10602-2023 karta.png", "A 10602-2023")</f>
        <v/>
      </c>
      <c r="Y49">
        <f>HYPERLINK("https://klasma.github.io/Logging_1496/kartor_geotiff/A 10602-2023 georefererad karta.tif", "A 10602-2023")</f>
        <v/>
      </c>
      <c r="AA49">
        <f>HYPERLINK("https://klasma.github.io/Logging_1496/klagomål/A 10602-2023 FSC-klagomål.docx", "A 10602-2023")</f>
        <v/>
      </c>
      <c r="AB49">
        <f>HYPERLINK("https://klasma.github.io/Logging_1496/klagomålsmail/A 10602-2023 FSC-klagomål mail.docx", "A 10602-2023")</f>
        <v/>
      </c>
      <c r="AC49">
        <f>HYPERLINK("https://klasma.github.io/Logging_1496/tillsyn/A 10602-2023 tillsynsbegäran.docx", "A 10602-2023")</f>
        <v/>
      </c>
      <c r="AD49">
        <f>HYPERLINK("https://klasma.github.io/Logging_1496/tillsynsmail/A 10602-2023 tillsynsbegäran mail.docx", "A 10602-2023")</f>
        <v/>
      </c>
    </row>
    <row r="50" ht="15" customHeight="1">
      <c r="A50" t="inlineStr">
        <is>
          <t>A 3951-2024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46317</v>
      </c>
      <c r="F50" t="inlineStr">
        <is>
          <t>VÄSTRA GÖTALANDS LÄN</t>
        </is>
      </c>
      <c r="G50" t="inlineStr">
        <is>
          <t>SKÖVDE</t>
        </is>
      </c>
      <c r="I50" t="n">
        <v>10.7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HYPERLINK("https://klasma.github.io/Logging_1496/artfynd/A 3951-2024 artfynd.xlsx", "A 3951-2024")</f>
        <v/>
      </c>
      <c r="X50">
        <f>HYPERLINK("https://klasma.github.io/Logging_1496/kartor/A 3951-2024 karta.png", "A 3951-2024")</f>
        <v/>
      </c>
      <c r="Y50">
        <f>HYPERLINK("https://klasma.github.io/Logging_1496/kartor_geotiff/A 3951-2024 georefererad karta.tif", "A 3951-2024")</f>
        <v/>
      </c>
      <c r="AA50">
        <f>HYPERLINK("https://klasma.github.io/Logging_1496/klagomål/A 3951-2024 FSC-klagomål.docx", "A 3951-2024")</f>
        <v/>
      </c>
      <c r="AB50">
        <f>HYPERLINK("https://klasma.github.io/Logging_1496/klagomålsmail/A 3951-2024 FSC-klagomål mail.docx", "A 3951-2024")</f>
        <v/>
      </c>
      <c r="AC50">
        <f>HYPERLINK("https://klasma.github.io/Logging_1496/tillsyn/A 3951-2024 tillsynsbegäran.docx", "A 3951-2024")</f>
        <v/>
      </c>
      <c r="AD50">
        <f>HYPERLINK("https://klasma.github.io/Logging_1496/tillsynsmail/A 3951-2024 tillsynsbegäran mail.docx", "A 3951-2024")</f>
        <v/>
      </c>
    </row>
    <row r="51" ht="15" customHeight="1">
      <c r="A51" t="inlineStr">
        <is>
          <t>A 47898-2023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45204</v>
      </c>
      <c r="E51" s="1" t="n">
        <v>46317</v>
      </c>
      <c r="F51" t="inlineStr">
        <is>
          <t>VÄSTRA GÖTALANDS LÄN</t>
        </is>
      </c>
      <c r="G51" t="inlineStr">
        <is>
          <t>SKÖVDE</t>
        </is>
      </c>
      <c r="I51" t="n">
        <v>9.5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Karminticka</t>
        </is>
      </c>
      <c r="W51">
        <f>HYPERLINK("https://klasma.github.io/Logging_1496/artfynd/A 47898-2023 artfynd.xlsx", "A 47898-2023")</f>
        <v/>
      </c>
      <c r="X51">
        <f>HYPERLINK("https://klasma.github.io/Logging_1496/kartor/A 47898-2023 karta.png", "A 47898-2023")</f>
        <v/>
      </c>
      <c r="Y51">
        <f>HYPERLINK("https://klasma.github.io/Logging_1496/kartor_geotiff/A 47898-2023 georefererad karta.tif", "A 47898-2023")</f>
        <v/>
      </c>
      <c r="AA51">
        <f>HYPERLINK("https://klasma.github.io/Logging_1496/klagomål/A 47898-2023 FSC-klagomål.docx", "A 47898-2023")</f>
        <v/>
      </c>
      <c r="AB51">
        <f>HYPERLINK("https://klasma.github.io/Logging_1496/klagomålsmail/A 47898-2023 FSC-klagomål mail.docx", "A 47898-2023")</f>
        <v/>
      </c>
      <c r="AC51">
        <f>HYPERLINK("https://klasma.github.io/Logging_1496/tillsyn/A 47898-2023 tillsynsbegäran.docx", "A 47898-2023")</f>
        <v/>
      </c>
      <c r="AD51">
        <f>HYPERLINK("https://klasma.github.io/Logging_1496/tillsynsmail/A 47898-2023 tillsynsbegäran mail.docx", "A 47898-2023")</f>
        <v/>
      </c>
    </row>
    <row r="52" ht="15" customHeight="1">
      <c r="A52" t="inlineStr">
        <is>
          <t>A 28717-2026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46198</v>
      </c>
      <c r="E52" s="1" t="n">
        <v>46317</v>
      </c>
      <c r="F52" t="inlineStr">
        <is>
          <t>VÄSTRA GÖTALANDS LÄN</t>
        </is>
      </c>
      <c r="G52" t="inlineStr">
        <is>
          <t>SKÖVDE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HYPERLINK("https://klasma.github.io/Logging_1496/artfynd/A 28717-2026 artfynd.xlsx", "A 28717-2026")</f>
        <v/>
      </c>
      <c r="X52">
        <f>HYPERLINK("https://klasma.github.io/Logging_1496/kartor/A 28717-2026 karta.png", "A 28717-2026")</f>
        <v/>
      </c>
      <c r="Y52">
        <f>HYPERLINK("https://klasma.github.io/Logging_1496/kartor_geotiff/A 28717-2026 georefererad karta.tif", "A 28717-2026")</f>
        <v/>
      </c>
      <c r="AA52">
        <f>HYPERLINK("https://klasma.github.io/Logging_1496/klagomål/A 28717-2026 FSC-klagomål.docx", "A 28717-2026")</f>
        <v/>
      </c>
      <c r="AB52">
        <f>HYPERLINK("https://klasma.github.io/Logging_1496/klagomålsmail/A 28717-2026 FSC-klagomål mail.docx", "A 28717-2026")</f>
        <v/>
      </c>
      <c r="AC52">
        <f>HYPERLINK("https://klasma.github.io/Logging_1496/tillsyn/A 28717-2026 tillsynsbegäran.docx", "A 28717-2026")</f>
        <v/>
      </c>
      <c r="AD52">
        <f>HYPERLINK("https://klasma.github.io/Logging_1496/tillsynsmail/A 28717-2026 tillsynsbegäran mail.docx", "A 28717-2026")</f>
        <v/>
      </c>
    </row>
    <row r="53" ht="15" customHeight="1">
      <c r="A53" t="inlineStr">
        <is>
          <t>A 52377-2023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45224</v>
      </c>
      <c r="E53" s="1" t="n">
        <v>46317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Kransrams</t>
        </is>
      </c>
      <c r="W53">
        <f>HYPERLINK("https://klasma.github.io/Logging_1496/artfynd/A 52377-2023 artfynd.xlsx", "A 52377-2023")</f>
        <v/>
      </c>
      <c r="X53">
        <f>HYPERLINK("https://klasma.github.io/Logging_1496/kartor/A 52377-2023 karta.png", "A 52377-2023")</f>
        <v/>
      </c>
      <c r="Y53">
        <f>HYPERLINK("https://klasma.github.io/Logging_1496/kartor_geotiff/A 52377-2023 georefererad karta.tif", "A 52377-2023")</f>
        <v/>
      </c>
      <c r="AA53">
        <f>HYPERLINK("https://klasma.github.io/Logging_1496/klagomål/A 52377-2023 FSC-klagomål.docx", "A 52377-2023")</f>
        <v/>
      </c>
      <c r="AB53">
        <f>HYPERLINK("https://klasma.github.io/Logging_1496/klagomålsmail/A 52377-2023 FSC-klagomål mail.docx", "A 52377-2023")</f>
        <v/>
      </c>
      <c r="AC53">
        <f>HYPERLINK("https://klasma.github.io/Logging_1496/tillsyn/A 52377-2023 tillsynsbegäran.docx", "A 52377-2023")</f>
        <v/>
      </c>
      <c r="AD53">
        <f>HYPERLINK("https://klasma.github.io/Logging_1496/tillsynsmail/A 52377-2023 tillsynsbegäran mail.docx", "A 52377-2023")</f>
        <v/>
      </c>
    </row>
    <row r="54" ht="15" customHeight="1">
      <c r="A54" t="inlineStr">
        <is>
          <t>A 17452-2023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45036</v>
      </c>
      <c r="E54" s="1" t="n">
        <v>46317</v>
      </c>
      <c r="F54" t="inlineStr">
        <is>
          <t>VÄSTRA GÖTALANDS LÄN</t>
        </is>
      </c>
      <c r="G54" t="inlineStr">
        <is>
          <t>SKÖVDE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HYPERLINK("https://klasma.github.io/Logging_1496/artfynd/A 17452-2023 artfynd.xlsx", "A 17452-2023")</f>
        <v/>
      </c>
      <c r="X54">
        <f>HYPERLINK("https://klasma.github.io/Logging_1496/kartor/A 17452-2023 karta.png", "A 17452-2023")</f>
        <v/>
      </c>
      <c r="Y54">
        <f>HYPERLINK("https://klasma.github.io/Logging_1496/kartor_geotiff/A 17452-2023 georefererad karta.tif", "A 17452-2023")</f>
        <v/>
      </c>
      <c r="AA54">
        <f>HYPERLINK("https://klasma.github.io/Logging_1496/klagomål/A 17452-2023 FSC-klagomål.docx", "A 17452-2023")</f>
        <v/>
      </c>
      <c r="AB54">
        <f>HYPERLINK("https://klasma.github.io/Logging_1496/klagomålsmail/A 17452-2023 FSC-klagomål mail.docx", "A 17452-2023")</f>
        <v/>
      </c>
      <c r="AC54">
        <f>HYPERLINK("https://klasma.github.io/Logging_1496/tillsyn/A 17452-2023 tillsynsbegäran.docx", "A 17452-2023")</f>
        <v/>
      </c>
      <c r="AD54">
        <f>HYPERLINK("https://klasma.github.io/Logging_1496/tillsynsmail/A 17452-2023 tillsynsbegäran mail.docx", "A 17452-2023")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46317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18132-2023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45040</v>
      </c>
      <c r="E56" s="1" t="n">
        <v>46317</v>
      </c>
      <c r="F56" t="inlineStr">
        <is>
          <t>VÄSTRA GÖTALANDS LÄN</t>
        </is>
      </c>
      <c r="G56" t="inlineStr">
        <is>
          <t>SKÖVDE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Hässleklocka</t>
        </is>
      </c>
      <c r="W56">
        <f>HYPERLINK("https://klasma.github.io/Logging_1496/artfynd/A 18132-2023 artfynd.xlsx", "A 18132-2023")</f>
        <v/>
      </c>
      <c r="X56">
        <f>HYPERLINK("https://klasma.github.io/Logging_1496/kartor/A 18132-2023 karta.png", "A 18132-2023")</f>
        <v/>
      </c>
      <c r="Y56">
        <f>HYPERLINK("https://klasma.github.io/Logging_1496/kartor_geotiff/A 18132-2023 georefererad karta.tif", "A 18132-2023")</f>
        <v/>
      </c>
      <c r="AA56">
        <f>HYPERLINK("https://klasma.github.io/Logging_1496/klagomål/A 18132-2023 FSC-klagomål.docx", "A 18132-2023")</f>
        <v/>
      </c>
      <c r="AB56">
        <f>HYPERLINK("https://klasma.github.io/Logging_1496/klagomålsmail/A 18132-2023 FSC-klagomål mail.docx", "A 18132-2023")</f>
        <v/>
      </c>
      <c r="AC56">
        <f>HYPERLINK("https://klasma.github.io/Logging_1496/tillsyn/A 18132-2023 tillsynsbegäran.docx", "A 18132-2023")</f>
        <v/>
      </c>
      <c r="AD56">
        <f>HYPERLINK("https://klasma.github.io/Logging_1496/tillsynsmail/A 18132-2023 tillsynsbegäran mail.docx", "A 18132-2023")</f>
        <v/>
      </c>
    </row>
    <row r="57" ht="15" customHeight="1">
      <c r="A57" t="inlineStr">
        <is>
          <t>A 35919-2023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45148</v>
      </c>
      <c r="E57" s="1" t="n">
        <v>46317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Svinrot</t>
        </is>
      </c>
      <c r="W57">
        <f>HYPERLINK("https://klasma.github.io/Logging_1496/artfynd/A 35919-2023 artfynd.xlsx", "A 35919-2023")</f>
        <v/>
      </c>
      <c r="X57">
        <f>HYPERLINK("https://klasma.github.io/Logging_1496/kartor/A 35919-2023 karta.png", "A 35919-2023")</f>
        <v/>
      </c>
      <c r="Y57">
        <f>HYPERLINK("https://klasma.github.io/Logging_1496/kartor_geotiff/A 35919-2023 georefererad karta.tif", "A 35919-2023")</f>
        <v/>
      </c>
      <c r="AA57">
        <f>HYPERLINK("https://klasma.github.io/Logging_1496/klagomål/A 35919-2023 FSC-klagomål.docx", "A 35919-2023")</f>
        <v/>
      </c>
      <c r="AB57">
        <f>HYPERLINK("https://klasma.github.io/Logging_1496/klagomålsmail/A 35919-2023 FSC-klagomål mail.docx", "A 35919-2023")</f>
        <v/>
      </c>
      <c r="AC57">
        <f>HYPERLINK("https://klasma.github.io/Logging_1496/tillsyn/A 35919-2023 tillsynsbegäran.docx", "A 35919-2023")</f>
        <v/>
      </c>
      <c r="AD57">
        <f>HYPERLINK("https://klasma.github.io/Logging_1496/tillsynsmail/A 35919-2023 tillsynsbegäran mail.docx", "A 35919-2023")</f>
        <v/>
      </c>
    </row>
    <row r="58" ht="15" customHeight="1">
      <c r="A58" t="inlineStr">
        <is>
          <t>A 42904-2023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45182</v>
      </c>
      <c r="E58" s="1" t="n">
        <v>46317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Grönvit nattviol</t>
        </is>
      </c>
      <c r="W58">
        <f>HYPERLINK("https://klasma.github.io/Logging_1496/artfynd/A 42904-2023 artfynd.xlsx", "A 42904-2023")</f>
        <v/>
      </c>
      <c r="X58">
        <f>HYPERLINK("https://klasma.github.io/Logging_1496/kartor/A 42904-2023 karta.png", "A 42904-2023")</f>
        <v/>
      </c>
      <c r="Y58">
        <f>HYPERLINK("https://klasma.github.io/Logging_1496/kartor_geotiff/A 42904-2023 georefererad karta.tif", "A 42904-2023")</f>
        <v/>
      </c>
      <c r="AA58">
        <f>HYPERLINK("https://klasma.github.io/Logging_1496/klagomål/A 42904-2023 FSC-klagomål.docx", "A 42904-2023")</f>
        <v/>
      </c>
      <c r="AB58">
        <f>HYPERLINK("https://klasma.github.io/Logging_1496/klagomålsmail/A 42904-2023 FSC-klagomål mail.docx", "A 42904-2023")</f>
        <v/>
      </c>
      <c r="AC58">
        <f>HYPERLINK("https://klasma.github.io/Logging_1496/tillsyn/A 42904-2023 tillsynsbegäran.docx", "A 42904-2023")</f>
        <v/>
      </c>
      <c r="AD58">
        <f>HYPERLINK("https://klasma.github.io/Logging_1496/tillsynsmail/A 42904-2023 tillsynsbegäran mail.docx", "A 42904-2023")</f>
        <v/>
      </c>
    </row>
    <row r="59" ht="15" customHeight="1">
      <c r="A59" t="inlineStr">
        <is>
          <t>A 15417-2023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46317</v>
      </c>
      <c r="F59" t="inlineStr">
        <is>
          <t>VÄSTRA GÖTALANDS LÄN</t>
        </is>
      </c>
      <c r="G59" t="inlineStr">
        <is>
          <t>SKÖVDE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Gullpudra</t>
        </is>
      </c>
      <c r="W59">
        <f>HYPERLINK("https://klasma.github.io/Logging_1496/artfynd/A 15417-2023 artfynd.xlsx", "A 15417-2023")</f>
        <v/>
      </c>
      <c r="X59">
        <f>HYPERLINK("https://klasma.github.io/Logging_1496/kartor/A 15417-2023 karta.png", "A 15417-2023")</f>
        <v/>
      </c>
      <c r="Y59">
        <f>HYPERLINK("https://klasma.github.io/Logging_1496/kartor_geotiff/A 15417-2023 georefererad karta.tif", "A 15417-2023")</f>
        <v/>
      </c>
      <c r="AA59">
        <f>HYPERLINK("https://klasma.github.io/Logging_1496/klagomål/A 15417-2023 FSC-klagomål.docx", "A 15417-2023")</f>
        <v/>
      </c>
      <c r="AB59">
        <f>HYPERLINK("https://klasma.github.io/Logging_1496/klagomålsmail/A 15417-2023 FSC-klagomål mail.docx", "A 15417-2023")</f>
        <v/>
      </c>
      <c r="AC59">
        <f>HYPERLINK("https://klasma.github.io/Logging_1496/tillsyn/A 15417-2023 tillsynsbegäran.docx", "A 15417-2023")</f>
        <v/>
      </c>
      <c r="AD59">
        <f>HYPERLINK("https://klasma.github.io/Logging_1496/tillsynsmail/A 15417-2023 tillsynsbegäran mail.docx", "A 15417-2023")</f>
        <v/>
      </c>
    </row>
    <row r="60" ht="15" customHeight="1">
      <c r="A60" t="inlineStr">
        <is>
          <t>A 3948-2024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46317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HYPERLINK("https://klasma.github.io/Logging_1496/artfynd/A 3948-2024 artfynd.xlsx", "A 3948-2024")</f>
        <v/>
      </c>
      <c r="X60">
        <f>HYPERLINK("https://klasma.github.io/Logging_1496/kartor/A 3948-2024 karta.png", "A 3948-2024")</f>
        <v/>
      </c>
      <c r="Y60">
        <f>HYPERLINK("https://klasma.github.io/Logging_1496/kartor_geotiff/A 3948-2024 georefererad karta.tif", "A 3948-2024")</f>
        <v/>
      </c>
      <c r="AA60">
        <f>HYPERLINK("https://klasma.github.io/Logging_1496/klagomål/A 3948-2024 FSC-klagomål.docx", "A 3948-2024")</f>
        <v/>
      </c>
      <c r="AB60">
        <f>HYPERLINK("https://klasma.github.io/Logging_1496/klagomålsmail/A 3948-2024 FSC-klagomål mail.docx", "A 3948-2024")</f>
        <v/>
      </c>
      <c r="AC60">
        <f>HYPERLINK("https://klasma.github.io/Logging_1496/tillsyn/A 3948-2024 tillsynsbegäran.docx", "A 3948-2024")</f>
        <v/>
      </c>
      <c r="AD60">
        <f>HYPERLINK("https://klasma.github.io/Logging_1496/tillsynsmail/A 3948-2024 tillsynsbegäran mail.docx", "A 3948-2024")</f>
        <v/>
      </c>
    </row>
    <row r="61" ht="15" customHeight="1">
      <c r="A61" t="inlineStr">
        <is>
          <t>A 36667-2026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46272</v>
      </c>
      <c r="E61" s="1" t="n">
        <v>46317</v>
      </c>
      <c r="F61" t="inlineStr">
        <is>
          <t>VÄSTRA GÖTALANDS LÄN</t>
        </is>
      </c>
      <c r="G61" t="inlineStr">
        <is>
          <t>SKÖVDE</t>
        </is>
      </c>
      <c r="I61" t="n">
        <v>2.4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Trollfibbla</t>
        </is>
      </c>
      <c r="W61">
        <f>HYPERLINK("https://klasma.github.io/Logging_1496/artfynd/A 36667-2026 artfynd.xlsx", "A 36667-2026")</f>
        <v/>
      </c>
      <c r="X61">
        <f>HYPERLINK("https://klasma.github.io/Logging_1496/kartor/A 36667-2026 karta.png", "A 36667-2026")</f>
        <v/>
      </c>
      <c r="Y61">
        <f>HYPERLINK("https://klasma.github.io/Logging_1496/kartor_geotiff/A 36667-2026 georefererad karta.tif", "A 36667-2026")</f>
        <v/>
      </c>
      <c r="AA61">
        <f>HYPERLINK("https://klasma.github.io/Logging_1496/klagomål/A 36667-2026 FSC-klagomål.docx", "A 36667-2026")</f>
        <v/>
      </c>
      <c r="AB61">
        <f>HYPERLINK("https://klasma.github.io/Logging_1496/klagomålsmail/A 36667-2026 FSC-klagomål mail.docx", "A 36667-2026")</f>
        <v/>
      </c>
      <c r="AC61">
        <f>HYPERLINK("https://klasma.github.io/Logging_1496/tillsyn/A 36667-2026 tillsynsbegäran.docx", "A 36667-2026")</f>
        <v/>
      </c>
      <c r="AD61">
        <f>HYPERLINK("https://klasma.github.io/Logging_1496/tillsynsmail/A 36667-2026 tillsynsbegäran mail.docx", "A 36667-2026")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46317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46317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46317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46317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45379-2022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44844</v>
      </c>
      <c r="E66" s="1" t="n">
        <v>46317</v>
      </c>
      <c r="F66" t="inlineStr">
        <is>
          <t>VÄSTRA GÖTALANDS LÄN</t>
        </is>
      </c>
      <c r="G66" t="inlineStr">
        <is>
          <t>SKÖVDE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46317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46317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46317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46317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46317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46317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46317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46317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46317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46317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46317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46317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46317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46317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46317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46317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46317</v>
      </c>
      <c r="F83" t="inlineStr">
        <is>
          <t>VÄSTRA GÖTALANDS LÄN</t>
        </is>
      </c>
      <c r="G83" t="inlineStr">
        <is>
          <t>SKÖVDE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62290-2023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45267</v>
      </c>
      <c r="E84" s="1" t="n">
        <v>46317</v>
      </c>
      <c r="F84" t="inlineStr">
        <is>
          <t>VÄSTRA GÖTALANDS LÄN</t>
        </is>
      </c>
      <c r="G84" t="inlineStr">
        <is>
          <t>SKÖVDE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45322</v>
      </c>
      <c r="E85" s="1" t="n">
        <v>46317</v>
      </c>
      <c r="F85" t="inlineStr">
        <is>
          <t>VÄSTRA GÖTALANDS LÄN</t>
        </is>
      </c>
      <c r="G85" t="inlineStr">
        <is>
          <t>SKÖVDE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44862</v>
      </c>
      <c r="E86" s="1" t="n">
        <v>46317</v>
      </c>
      <c r="F86" t="inlineStr">
        <is>
          <t>VÄSTRA GÖTALANDS LÄN</t>
        </is>
      </c>
      <c r="G86" t="inlineStr">
        <is>
          <t>SKÖVDE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34211-2023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45138</v>
      </c>
      <c r="E87" s="1" t="n">
        <v>46317</v>
      </c>
      <c r="F87" t="inlineStr">
        <is>
          <t>VÄSTRA GÖTALANDS LÄN</t>
        </is>
      </c>
      <c r="G87" t="inlineStr">
        <is>
          <t>SKÖVDE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45299</v>
      </c>
      <c r="E88" s="1" t="n">
        <v>46317</v>
      </c>
      <c r="F88" t="inlineStr">
        <is>
          <t>VÄSTRA GÖTALANDS LÄN</t>
        </is>
      </c>
      <c r="G88" t="inlineStr">
        <is>
          <t>SKÖVDE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45301</v>
      </c>
      <c r="E89" s="1" t="n">
        <v>46317</v>
      </c>
      <c r="F89" t="inlineStr">
        <is>
          <t>VÄSTRA GÖTALANDS LÄN</t>
        </is>
      </c>
      <c r="G89" t="inlineStr">
        <is>
          <t>SKÖVDE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46317</v>
      </c>
      <c r="F90" t="inlineStr">
        <is>
          <t>VÄSTRA GÖTALANDS LÄN</t>
        </is>
      </c>
      <c r="G90" t="inlineStr">
        <is>
          <t>SKÖVDE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46317</v>
      </c>
      <c r="F91" t="inlineStr">
        <is>
          <t>VÄSTRA GÖTALANDS LÄN</t>
        </is>
      </c>
      <c r="G91" t="inlineStr">
        <is>
          <t>SKÖVDE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45792</v>
      </c>
      <c r="E92" s="1" t="n">
        <v>46317</v>
      </c>
      <c r="F92" t="inlineStr">
        <is>
          <t>VÄSTRA GÖTALANDS LÄN</t>
        </is>
      </c>
      <c r="G92" t="inlineStr">
        <is>
          <t>SKÖVDE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62811-2025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46317</v>
      </c>
      <c r="F93" t="inlineStr">
        <is>
          <t>VÄSTRA GÖTALANDS LÄN</t>
        </is>
      </c>
      <c r="G93" t="inlineStr">
        <is>
          <t>SKÖVDE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45710</v>
      </c>
      <c r="E94" s="1" t="n">
        <v>46317</v>
      </c>
      <c r="F94" t="inlineStr">
        <is>
          <t>VÄSTRA GÖTALANDS LÄN</t>
        </is>
      </c>
      <c r="G94" t="inlineStr">
        <is>
          <t>SKÖVDE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46317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45743</v>
      </c>
      <c r="E96" s="1" t="n">
        <v>46317</v>
      </c>
      <c r="F96" t="inlineStr">
        <is>
          <t>VÄSTRA GÖTALANDS LÄN</t>
        </is>
      </c>
      <c r="G96" t="inlineStr">
        <is>
          <t>SKÖVDE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38499-2025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46317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Kyrkan</t>
        </is>
      </c>
      <c r="I97" t="n">
        <v>10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9640-2025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45715</v>
      </c>
      <c r="E98" s="1" t="n">
        <v>46317</v>
      </c>
      <c r="F98" t="inlineStr">
        <is>
          <t>VÄSTRA GÖTALANDS LÄN</t>
        </is>
      </c>
      <c r="G98" t="inlineStr">
        <is>
          <t>SKÖVDE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46317</v>
      </c>
      <c r="F99" t="inlineStr">
        <is>
          <t>VÄSTRA GÖTALANDS LÄN</t>
        </is>
      </c>
      <c r="G99" t="inlineStr">
        <is>
          <t>SKÖVDE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45142</v>
      </c>
      <c r="E100" s="1" t="n">
        <v>46317</v>
      </c>
      <c r="F100" t="inlineStr">
        <is>
          <t>VÄSTRA GÖTALANDS LÄN</t>
        </is>
      </c>
      <c r="G100" t="inlineStr">
        <is>
          <t>SKÖVDE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46317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45314</v>
      </c>
      <c r="E102" s="1" t="n">
        <v>46317</v>
      </c>
      <c r="F102" t="inlineStr">
        <is>
          <t>VÄSTRA GÖTALANDS LÄN</t>
        </is>
      </c>
      <c r="G102" t="inlineStr">
        <is>
          <t>SKÖVDE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63453-2025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46013</v>
      </c>
      <c r="E103" s="1" t="n">
        <v>46317</v>
      </c>
      <c r="F103" t="inlineStr">
        <is>
          <t>VÄSTRA GÖTALANDS LÄN</t>
        </is>
      </c>
      <c r="G103" t="inlineStr">
        <is>
          <t>SKÖVDE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45306</v>
      </c>
      <c r="E104" s="1" t="n">
        <v>46317</v>
      </c>
      <c r="F104" t="inlineStr">
        <is>
          <t>VÄSTRA GÖTALANDS LÄN</t>
        </is>
      </c>
      <c r="G104" t="inlineStr">
        <is>
          <t>SKÖVDE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46317</v>
      </c>
      <c r="F105" t="inlineStr">
        <is>
          <t>VÄSTRA GÖTALANDS LÄN</t>
        </is>
      </c>
      <c r="G105" t="inlineStr">
        <is>
          <t>SKÖVDE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45853</v>
      </c>
      <c r="E106" s="1" t="n">
        <v>46317</v>
      </c>
      <c r="F106" t="inlineStr">
        <is>
          <t>VÄSTRA GÖTALANDS LÄN</t>
        </is>
      </c>
      <c r="G106" t="inlineStr">
        <is>
          <t>SKÖVDE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17326-2025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45756</v>
      </c>
      <c r="E107" s="1" t="n">
        <v>46317</v>
      </c>
      <c r="F107" t="inlineStr">
        <is>
          <t>VÄSTRA GÖTALANDS LÄN</t>
        </is>
      </c>
      <c r="G107" t="inlineStr">
        <is>
          <t>SKÖVDE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45635</v>
      </c>
      <c r="E108" s="1" t="n">
        <v>46317</v>
      </c>
      <c r="F108" t="inlineStr">
        <is>
          <t>VÄSTRA GÖTALANDS LÄN</t>
        </is>
      </c>
      <c r="G108" t="inlineStr">
        <is>
          <t>SKÖVDE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45796</v>
      </c>
      <c r="E109" s="1" t="n">
        <v>46317</v>
      </c>
      <c r="F109" t="inlineStr">
        <is>
          <t>VÄSTRA GÖTALANDS LÄN</t>
        </is>
      </c>
      <c r="G109" t="inlineStr">
        <is>
          <t>SKÖVDE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5658-2024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45334</v>
      </c>
      <c r="E110" s="1" t="n">
        <v>46317</v>
      </c>
      <c r="F110" t="inlineStr">
        <is>
          <t>VÄSTRA GÖTALANDS LÄN</t>
        </is>
      </c>
      <c r="G110" t="inlineStr">
        <is>
          <t>SKÖVDE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46317</v>
      </c>
      <c r="F111" t="inlineStr">
        <is>
          <t>VÄSTRA GÖTALANDS LÄN</t>
        </is>
      </c>
      <c r="G111" t="inlineStr">
        <is>
          <t>SKÖVDE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46317</v>
      </c>
      <c r="F112" t="inlineStr">
        <is>
          <t>VÄSTRA GÖTALANDS LÄN</t>
        </is>
      </c>
      <c r="G112" t="inlineStr">
        <is>
          <t>SKÖVDE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45159</v>
      </c>
      <c r="E113" s="1" t="n">
        <v>46317</v>
      </c>
      <c r="F113" t="inlineStr">
        <is>
          <t>VÄSTRA GÖTALANDS LÄN</t>
        </is>
      </c>
      <c r="G113" t="inlineStr">
        <is>
          <t>SKÖVDE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63751-2025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46017</v>
      </c>
      <c r="E114" s="1" t="n">
        <v>46317</v>
      </c>
      <c r="F114" t="inlineStr">
        <is>
          <t>VÄSTRA GÖTALANDS LÄN</t>
        </is>
      </c>
      <c r="G114" t="inlineStr">
        <is>
          <t>SKÖVDE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46317</v>
      </c>
      <c r="F115" t="inlineStr">
        <is>
          <t>VÄSTRA GÖTALANDS LÄN</t>
        </is>
      </c>
      <c r="G115" t="inlineStr">
        <is>
          <t>SKÖVDE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45709</v>
      </c>
      <c r="E116" s="1" t="n">
        <v>46317</v>
      </c>
      <c r="F116" t="inlineStr">
        <is>
          <t>VÄSTRA GÖTALANDS LÄN</t>
        </is>
      </c>
      <c r="G116" t="inlineStr">
        <is>
          <t>SKÖVDE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25271-2025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46317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25639-2025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45800</v>
      </c>
      <c r="E118" s="1" t="n">
        <v>46317</v>
      </c>
      <c r="F118" t="inlineStr">
        <is>
          <t>VÄSTRA GÖTALANDS LÄN</t>
        </is>
      </c>
      <c r="G118" t="inlineStr">
        <is>
          <t>SKÖVDE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46317</v>
      </c>
      <c r="F119" t="inlineStr">
        <is>
          <t>VÄSTRA GÖTALANDS LÄN</t>
        </is>
      </c>
      <c r="G119" t="inlineStr">
        <is>
          <t>SKÖVDE</t>
        </is>
      </c>
      <c r="H119" t="inlineStr">
        <is>
          <t>Kommuner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25642-2025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45803</v>
      </c>
      <c r="E120" s="1" t="n">
        <v>46317</v>
      </c>
      <c r="F120" t="inlineStr">
        <is>
          <t>VÄSTRA GÖTALANDS LÄN</t>
        </is>
      </c>
      <c r="G120" t="inlineStr">
        <is>
          <t>SKÖVDE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46317</v>
      </c>
      <c r="F121" t="inlineStr">
        <is>
          <t>VÄSTRA GÖTALANDS LÄN</t>
        </is>
      </c>
      <c r="G121" t="inlineStr">
        <is>
          <t>SKÖVDE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45531</v>
      </c>
      <c r="E122" s="1" t="n">
        <v>46317</v>
      </c>
      <c r="F122" t="inlineStr">
        <is>
          <t>VÄSTRA GÖTALANDS LÄN</t>
        </is>
      </c>
      <c r="G122" t="inlineStr">
        <is>
          <t>SKÖVDE</t>
        </is>
      </c>
      <c r="I122" t="n">
        <v>11.7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46317</v>
      </c>
      <c r="F123" t="inlineStr">
        <is>
          <t>VÄSTRA GÖTALANDS LÄN</t>
        </is>
      </c>
      <c r="G123" t="inlineStr">
        <is>
          <t>SKÖVDE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46317</v>
      </c>
      <c r="F124" t="inlineStr">
        <is>
          <t>VÄSTRA GÖTALANDS LÄN</t>
        </is>
      </c>
      <c r="G124" t="inlineStr">
        <is>
          <t>SKÖVDE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46317</v>
      </c>
      <c r="F125" t="inlineStr">
        <is>
          <t>VÄSTRA GÖTALANDS LÄN</t>
        </is>
      </c>
      <c r="G125" t="inlineStr">
        <is>
          <t>SKÖVDE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46317</v>
      </c>
      <c r="F126" t="inlineStr">
        <is>
          <t>VÄSTRA GÖTALANDS LÄN</t>
        </is>
      </c>
      <c r="G126" t="inlineStr">
        <is>
          <t>SKÖVDE</t>
        </is>
      </c>
      <c r="I126" t="n">
        <v>12.3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45721</v>
      </c>
      <c r="E127" s="1" t="n">
        <v>46317</v>
      </c>
      <c r="F127" t="inlineStr">
        <is>
          <t>VÄSTRA GÖTALANDS LÄN</t>
        </is>
      </c>
      <c r="G127" t="inlineStr">
        <is>
          <t>SKÖVDE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29341-2025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46317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29015-2025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46317</v>
      </c>
      <c r="F129" t="inlineStr">
        <is>
          <t>VÄSTRA GÖTALANDS LÄN</t>
        </is>
      </c>
      <c r="G129" t="inlineStr">
        <is>
          <t>SKÖVDE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45821</v>
      </c>
      <c r="E130" s="1" t="n">
        <v>46317</v>
      </c>
      <c r="F130" t="inlineStr">
        <is>
          <t>VÄSTRA GÖTALANDS LÄN</t>
        </is>
      </c>
      <c r="G130" t="inlineStr">
        <is>
          <t>SKÖVDE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29017-2025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46317</v>
      </c>
      <c r="F131" t="inlineStr">
        <is>
          <t>VÄSTRA GÖTALANDS LÄN</t>
        </is>
      </c>
      <c r="G131" t="inlineStr">
        <is>
          <t>SKÖVDE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46317</v>
      </c>
      <c r="F132" t="inlineStr">
        <is>
          <t>VÄSTRA GÖTALANDS LÄN</t>
        </is>
      </c>
      <c r="G132" t="inlineStr">
        <is>
          <t>SKÖVDE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30150-2025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45827</v>
      </c>
      <c r="E133" s="1" t="n">
        <v>46317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Kommuner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45586</v>
      </c>
      <c r="E134" s="1" t="n">
        <v>46317</v>
      </c>
      <c r="F134" t="inlineStr">
        <is>
          <t>VÄSTRA GÖTALANDS LÄN</t>
        </is>
      </c>
      <c r="G134" t="inlineStr">
        <is>
          <t>SKÖVDE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45586</v>
      </c>
      <c r="E135" s="1" t="n">
        <v>46317</v>
      </c>
      <c r="F135" t="inlineStr">
        <is>
          <t>VÄSTRA GÖTALANDS LÄN</t>
        </is>
      </c>
      <c r="G135" t="inlineStr">
        <is>
          <t>SKÖVDE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45670</v>
      </c>
      <c r="E136" s="1" t="n">
        <v>46317</v>
      </c>
      <c r="F136" t="inlineStr">
        <is>
          <t>VÄSTRA GÖTALANDS LÄN</t>
        </is>
      </c>
      <c r="G136" t="inlineStr">
        <is>
          <t>SKÖVDE</t>
        </is>
      </c>
      <c r="I136" t="n">
        <v>11.8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45547</v>
      </c>
      <c r="E137" s="1" t="n">
        <v>46317</v>
      </c>
      <c r="F137" t="inlineStr">
        <is>
          <t>VÄSTRA GÖTALANDS LÄN</t>
        </is>
      </c>
      <c r="G137" t="inlineStr">
        <is>
          <t>SKÖVDE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46317</v>
      </c>
      <c r="F138" t="inlineStr">
        <is>
          <t>VÄSTRA GÖTALANDS LÄN</t>
        </is>
      </c>
      <c r="G138" t="inlineStr">
        <is>
          <t>SKÖVDE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46317</v>
      </c>
      <c r="F139" t="inlineStr">
        <is>
          <t>VÄSTRA GÖTALANDS LÄN</t>
        </is>
      </c>
      <c r="G139" t="inlineStr">
        <is>
          <t>SKÖVDE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45932</v>
      </c>
      <c r="E140" s="1" t="n">
        <v>46317</v>
      </c>
      <c r="F140" t="inlineStr">
        <is>
          <t>VÄSTRA GÖTALANDS LÄN</t>
        </is>
      </c>
      <c r="G140" t="inlineStr">
        <is>
          <t>SKÖVDE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46317</v>
      </c>
      <c r="F141" t="inlineStr">
        <is>
          <t>VÄSTRA GÖTALANDS LÄN</t>
        </is>
      </c>
      <c r="G141" t="inlineStr">
        <is>
          <t>SKÖVDE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45401</v>
      </c>
      <c r="E142" s="1" t="n">
        <v>46317</v>
      </c>
      <c r="F142" t="inlineStr">
        <is>
          <t>VÄSTRA GÖTALANDS LÄN</t>
        </is>
      </c>
      <c r="G142" t="inlineStr">
        <is>
          <t>SKÖVDE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45842</v>
      </c>
      <c r="E143" s="1" t="n">
        <v>46317</v>
      </c>
      <c r="F143" t="inlineStr">
        <is>
          <t>VÄSTRA GÖTALANDS LÄN</t>
        </is>
      </c>
      <c r="G143" t="inlineStr">
        <is>
          <t>SKÖVDE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48890-2025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46317</v>
      </c>
      <c r="F144" t="inlineStr">
        <is>
          <t>VÄSTRA GÖTALANDS LÄN</t>
        </is>
      </c>
      <c r="G144" t="inlineStr">
        <is>
          <t>SKÖVDE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45846</v>
      </c>
      <c r="E145" s="1" t="n">
        <v>46317</v>
      </c>
      <c r="F145" t="inlineStr">
        <is>
          <t>VÄSTRA GÖTALANDS LÄN</t>
        </is>
      </c>
      <c r="G145" t="inlineStr">
        <is>
          <t>SKÖVDE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46317</v>
      </c>
      <c r="F146" t="inlineStr">
        <is>
          <t>VÄSTRA GÖTALANDS LÄN</t>
        </is>
      </c>
      <c r="G146" t="inlineStr">
        <is>
          <t>SKÖVDE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44599</v>
      </c>
      <c r="E147" s="1" t="n">
        <v>46317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Kyrkan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45846</v>
      </c>
      <c r="E148" s="1" t="n">
        <v>46317</v>
      </c>
      <c r="F148" t="inlineStr">
        <is>
          <t>VÄSTRA GÖTALANDS LÄN</t>
        </is>
      </c>
      <c r="G148" t="inlineStr">
        <is>
          <t>SKÖVDE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46317</v>
      </c>
      <c r="F149" t="inlineStr">
        <is>
          <t>VÄSTRA GÖTALANDS LÄN</t>
        </is>
      </c>
      <c r="G149" t="inlineStr">
        <is>
          <t>SKÖVDE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45769</v>
      </c>
      <c r="E150" s="1" t="n">
        <v>46317</v>
      </c>
      <c r="F150" t="inlineStr">
        <is>
          <t>VÄSTRA GÖTALANDS LÄN</t>
        </is>
      </c>
      <c r="G150" t="inlineStr">
        <is>
          <t>SKÖVDE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46317</v>
      </c>
      <c r="F151" t="inlineStr">
        <is>
          <t>VÄSTRA GÖTALANDS LÄN</t>
        </is>
      </c>
      <c r="G151" t="inlineStr">
        <is>
          <t>SKÖVDE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46317</v>
      </c>
      <c r="F152" t="inlineStr">
        <is>
          <t>VÄSTRA GÖTALANDS LÄN</t>
        </is>
      </c>
      <c r="G152" t="inlineStr">
        <is>
          <t>SKÖVDE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45439</v>
      </c>
      <c r="E153" s="1" t="n">
        <v>46317</v>
      </c>
      <c r="F153" t="inlineStr">
        <is>
          <t>VÄSTRA GÖTALANDS LÄN</t>
        </is>
      </c>
      <c r="G153" t="inlineStr">
        <is>
          <t>SKÖVDE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46317</v>
      </c>
      <c r="F154" t="inlineStr">
        <is>
          <t>VÄSTRA GÖTALANDS LÄN</t>
        </is>
      </c>
      <c r="G154" t="inlineStr">
        <is>
          <t>SKÖVDE</t>
        </is>
      </c>
      <c r="H154" t="inlineStr">
        <is>
          <t>Kommuner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46317</v>
      </c>
      <c r="F155" t="inlineStr">
        <is>
          <t>VÄSTRA GÖTALANDS LÄN</t>
        </is>
      </c>
      <c r="G155" t="inlineStr">
        <is>
          <t>SKÖVDE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29217-2022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44750</v>
      </c>
      <c r="E156" s="1" t="n">
        <v>46317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Kommuner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48225-2024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45590</v>
      </c>
      <c r="E157" s="1" t="n">
        <v>46317</v>
      </c>
      <c r="F157" t="inlineStr">
        <is>
          <t>VÄSTRA GÖTALANDS LÄN</t>
        </is>
      </c>
      <c r="G157" t="inlineStr">
        <is>
          <t>SKÖVDE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46036</v>
      </c>
      <c r="E158" s="1" t="n">
        <v>46317</v>
      </c>
      <c r="F158" t="inlineStr">
        <is>
          <t>VÄSTRA GÖTALANDS LÄN</t>
        </is>
      </c>
      <c r="G158" t="inlineStr">
        <is>
          <t>SKÖVDE</t>
        </is>
      </c>
      <c r="I158" t="n">
        <v>7.3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45594</v>
      </c>
      <c r="E159" s="1" t="n">
        <v>46317</v>
      </c>
      <c r="F159" t="inlineStr">
        <is>
          <t>VÄSTRA GÖTALANDS LÄN</t>
        </is>
      </c>
      <c r="G159" t="inlineStr">
        <is>
          <t>SKÖVDE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40995-2022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44825</v>
      </c>
      <c r="E160" s="1" t="n">
        <v>46317</v>
      </c>
      <c r="F160" t="inlineStr">
        <is>
          <t>VÄSTRA GÖTALANDS LÄN</t>
        </is>
      </c>
      <c r="G160" t="inlineStr">
        <is>
          <t>SKÖVDE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23447-2023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45076</v>
      </c>
      <c r="E161" s="1" t="n">
        <v>46317</v>
      </c>
      <c r="F161" t="inlineStr">
        <is>
          <t>VÄSTRA GÖTALANDS LÄN</t>
        </is>
      </c>
      <c r="G161" t="inlineStr">
        <is>
          <t>SKÖVDE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46317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46317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Kommuner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13669-2023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45006</v>
      </c>
      <c r="E164" s="1" t="n">
        <v>46317</v>
      </c>
      <c r="F164" t="inlineStr">
        <is>
          <t>VÄSTRA GÖTALANDS LÄN</t>
        </is>
      </c>
      <c r="G164" t="inlineStr">
        <is>
          <t>SKÖVDE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46317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Kommuner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6092-2026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46052</v>
      </c>
      <c r="E166" s="1" t="n">
        <v>46317</v>
      </c>
      <c r="F166" t="inlineStr">
        <is>
          <t>VÄSTRA GÖTALANDS LÄN</t>
        </is>
      </c>
      <c r="G166" t="inlineStr">
        <is>
          <t>SKÖVDE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46317</v>
      </c>
      <c r="F167" t="inlineStr">
        <is>
          <t>VÄSTRA GÖTALANDS LÄN</t>
        </is>
      </c>
      <c r="G167" t="inlineStr">
        <is>
          <t>SKÖVDE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38264-2023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45161</v>
      </c>
      <c r="E168" s="1" t="n">
        <v>46317</v>
      </c>
      <c r="F168" t="inlineStr">
        <is>
          <t>VÄSTRA GÖTALANDS LÄN</t>
        </is>
      </c>
      <c r="G168" t="inlineStr">
        <is>
          <t>SKÖVDE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13178-2023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45002</v>
      </c>
      <c r="E169" s="1" t="n">
        <v>46317</v>
      </c>
      <c r="F169" t="inlineStr">
        <is>
          <t>VÄSTRA GÖTALANDS LÄN</t>
        </is>
      </c>
      <c r="G169" t="inlineStr">
        <is>
          <t>SKÖVDE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46317</v>
      </c>
      <c r="F170" t="inlineStr">
        <is>
          <t>VÄSTRA GÖTALANDS LÄN</t>
        </is>
      </c>
      <c r="G170" t="inlineStr">
        <is>
          <t>SKÖVDE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46317</v>
      </c>
      <c r="F171" t="inlineStr">
        <is>
          <t>VÄSTRA GÖTALANDS LÄN</t>
        </is>
      </c>
      <c r="G171" t="inlineStr">
        <is>
          <t>SKÖVDE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46317</v>
      </c>
      <c r="F172" t="inlineStr">
        <is>
          <t>VÄSTRA GÖTALANDS LÄN</t>
        </is>
      </c>
      <c r="G172" t="inlineStr">
        <is>
          <t>SKÖVDE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46317</v>
      </c>
      <c r="F173" t="inlineStr">
        <is>
          <t>VÄSTRA GÖTALANDS LÄN</t>
        </is>
      </c>
      <c r="G173" t="inlineStr">
        <is>
          <t>SKÖVDE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46317</v>
      </c>
      <c r="F174" t="inlineStr">
        <is>
          <t>VÄSTRA GÖTALANDS LÄN</t>
        </is>
      </c>
      <c r="G174" t="inlineStr">
        <is>
          <t>SKÖVDE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48336-2024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45590</v>
      </c>
      <c r="E175" s="1" t="n">
        <v>46317</v>
      </c>
      <c r="F175" t="inlineStr">
        <is>
          <t>VÄSTRA GÖTALANDS LÄN</t>
        </is>
      </c>
      <c r="G175" t="inlineStr">
        <is>
          <t>SKÖVDE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63374-2025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46009</v>
      </c>
      <c r="E176" s="1" t="n">
        <v>46317</v>
      </c>
      <c r="F176" t="inlineStr">
        <is>
          <t>VÄSTRA GÖTALANDS LÄN</t>
        </is>
      </c>
      <c r="G176" t="inlineStr">
        <is>
          <t>SKÖVDE</t>
        </is>
      </c>
      <c r="H176" t="inlineStr">
        <is>
          <t>Övriga statliga verk och myndigheter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46317</v>
      </c>
      <c r="F177" t="inlineStr">
        <is>
          <t>VÄSTRA GÖTALANDS LÄN</t>
        </is>
      </c>
      <c r="G177" t="inlineStr">
        <is>
          <t>SKÖVDE</t>
        </is>
      </c>
      <c r="H177" t="inlineStr">
        <is>
          <t>Övriga statliga verk och myndigheter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63375-2025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46009</v>
      </c>
      <c r="E178" s="1" t="n">
        <v>46317</v>
      </c>
      <c r="F178" t="inlineStr">
        <is>
          <t>VÄSTRA GÖTALANDS LÄN</t>
        </is>
      </c>
      <c r="G178" t="inlineStr">
        <is>
          <t>SKÖVDE</t>
        </is>
      </c>
      <c r="H178" t="inlineStr">
        <is>
          <t>Övriga statliga verk och myndigheter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63729-2025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46010</v>
      </c>
      <c r="E179" s="1" t="n">
        <v>46317</v>
      </c>
      <c r="F179" t="inlineStr">
        <is>
          <t>VÄSTRA GÖTALANDS LÄN</t>
        </is>
      </c>
      <c r="G179" t="inlineStr">
        <is>
          <t>SKÖVDE</t>
        </is>
      </c>
      <c r="H179" t="inlineStr">
        <is>
          <t>Övriga statliga verk och myndigheter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46317</v>
      </c>
      <c r="F180" t="inlineStr">
        <is>
          <t>VÄSTRA GÖTALANDS LÄN</t>
        </is>
      </c>
      <c r="G180" t="inlineStr">
        <is>
          <t>SKÖVDE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45992</v>
      </c>
      <c r="E181" s="1" t="n">
        <v>46317</v>
      </c>
      <c r="F181" t="inlineStr">
        <is>
          <t>VÄSTRA GÖTALANDS LÄN</t>
        </is>
      </c>
      <c r="G181" t="inlineStr">
        <is>
          <t>SKÖVDE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46317</v>
      </c>
      <c r="F182" t="inlineStr">
        <is>
          <t>VÄSTRA GÖTALANDS LÄN</t>
        </is>
      </c>
      <c r="G182" t="inlineStr">
        <is>
          <t>SKÖVDE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44820</v>
      </c>
      <c r="E183" s="1" t="n">
        <v>46317</v>
      </c>
      <c r="F183" t="inlineStr">
        <is>
          <t>VÄSTRA GÖTALANDS LÄN</t>
        </is>
      </c>
      <c r="G183" t="inlineStr">
        <is>
          <t>SKÖVDE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48149-2023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45201</v>
      </c>
      <c r="E184" s="1" t="n">
        <v>46317</v>
      </c>
      <c r="F184" t="inlineStr">
        <is>
          <t>VÄSTRA GÖTALANDS LÄN</t>
        </is>
      </c>
      <c r="G184" t="inlineStr">
        <is>
          <t>SKÖVDE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46091</v>
      </c>
      <c r="E185" s="1" t="n">
        <v>46317</v>
      </c>
      <c r="F185" t="inlineStr">
        <is>
          <t>VÄSTRA GÖTALANDS LÄN</t>
        </is>
      </c>
      <c r="G185" t="inlineStr">
        <is>
          <t>SKÖVDE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26699-2022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44739</v>
      </c>
      <c r="E186" s="1" t="n">
        <v>46317</v>
      </c>
      <c r="F186" t="inlineStr">
        <is>
          <t>VÄSTRA GÖTALANDS LÄN</t>
        </is>
      </c>
      <c r="G186" t="inlineStr">
        <is>
          <t>SKÖVDE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14281-2026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46317</v>
      </c>
      <c r="F187" t="inlineStr">
        <is>
          <t>VÄSTRA GÖTALANDS LÄN</t>
        </is>
      </c>
      <c r="G187" t="inlineStr">
        <is>
          <t>SKÖVDE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46317</v>
      </c>
      <c r="F188" t="inlineStr">
        <is>
          <t>VÄSTRA GÖTALANDS LÄN</t>
        </is>
      </c>
      <c r="G188" t="inlineStr">
        <is>
          <t>SKÖVDE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10559-2025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45721</v>
      </c>
      <c r="E189" s="1" t="n">
        <v>46317</v>
      </c>
      <c r="F189" t="inlineStr">
        <is>
          <t>VÄSTRA GÖTALANDS LÄN</t>
        </is>
      </c>
      <c r="G189" t="inlineStr">
        <is>
          <t>SKÖVDE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60587-2023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45259</v>
      </c>
      <c r="E190" s="1" t="n">
        <v>46317</v>
      </c>
      <c r="F190" t="inlineStr">
        <is>
          <t>VÄSTRA GÖTALANDS LÄN</t>
        </is>
      </c>
      <c r="G190" t="inlineStr">
        <is>
          <t>SKÖVDE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44804</v>
      </c>
      <c r="E191" s="1" t="n">
        <v>46317</v>
      </c>
      <c r="F191" t="inlineStr">
        <is>
          <t>VÄSTRA GÖTALANDS LÄN</t>
        </is>
      </c>
      <c r="G191" t="inlineStr">
        <is>
          <t>SKÖVDE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26737-2023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45093</v>
      </c>
      <c r="E192" s="1" t="n">
        <v>46317</v>
      </c>
      <c r="F192" t="inlineStr">
        <is>
          <t>VÄSTRA GÖTALANDS LÄN</t>
        </is>
      </c>
      <c r="G192" t="inlineStr">
        <is>
          <t>SKÖVDE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45894</v>
      </c>
      <c r="E193" s="1" t="n">
        <v>46317</v>
      </c>
      <c r="F193" t="inlineStr">
        <is>
          <t>VÄSTRA GÖTALANDS LÄN</t>
        </is>
      </c>
      <c r="G193" t="inlineStr">
        <is>
          <t>SKÖVDE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45847</v>
      </c>
      <c r="E194" s="1" t="n">
        <v>46317</v>
      </c>
      <c r="F194" t="inlineStr">
        <is>
          <t>VÄSTRA GÖTALANDS LÄN</t>
        </is>
      </c>
      <c r="G194" t="inlineStr">
        <is>
          <t>SKÖVDE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45693</v>
      </c>
      <c r="E195" s="1" t="n">
        <v>46317</v>
      </c>
      <c r="F195" t="inlineStr">
        <is>
          <t>VÄSTRA GÖTALANDS LÄN</t>
        </is>
      </c>
      <c r="G195" t="inlineStr">
        <is>
          <t>SKÖVDE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44959</v>
      </c>
      <c r="E196" s="1" t="n">
        <v>46317</v>
      </c>
      <c r="F196" t="inlineStr">
        <is>
          <t>VÄSTRA GÖTALANDS LÄN</t>
        </is>
      </c>
      <c r="G196" t="inlineStr">
        <is>
          <t>SKÖVDE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17798-2024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45418</v>
      </c>
      <c r="E197" s="1" t="n">
        <v>46317</v>
      </c>
      <c r="F197" t="inlineStr">
        <is>
          <t>VÄSTRA GÖTALANDS LÄN</t>
        </is>
      </c>
      <c r="G197" t="inlineStr">
        <is>
          <t>SKÖVDE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45693</v>
      </c>
      <c r="E198" s="1" t="n">
        <v>46317</v>
      </c>
      <c r="F198" t="inlineStr">
        <is>
          <t>VÄSTRA GÖTALANDS LÄN</t>
        </is>
      </c>
      <c r="G198" t="inlineStr">
        <is>
          <t>SKÖVDE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45306</v>
      </c>
      <c r="E199" s="1" t="n">
        <v>46317</v>
      </c>
      <c r="F199" t="inlineStr">
        <is>
          <t>VÄSTRA GÖTALANDS LÄN</t>
        </is>
      </c>
      <c r="G199" t="inlineStr">
        <is>
          <t>SKÖVDE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46317</v>
      </c>
      <c r="F200" t="inlineStr">
        <is>
          <t>VÄSTRA GÖTALANDS LÄN</t>
        </is>
      </c>
      <c r="G200" t="inlineStr">
        <is>
          <t>SKÖVDE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46317</v>
      </c>
      <c r="F201" t="inlineStr">
        <is>
          <t>VÄSTRA GÖTALANDS LÄN</t>
        </is>
      </c>
      <c r="G201" t="inlineStr">
        <is>
          <t>SKÖVDE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45539</v>
      </c>
      <c r="E202" s="1" t="n">
        <v>46317</v>
      </c>
      <c r="F202" t="inlineStr">
        <is>
          <t>VÄSTRA GÖTALANDS LÄN</t>
        </is>
      </c>
      <c r="G202" t="inlineStr">
        <is>
          <t>SKÖVDE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40374-2023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45169</v>
      </c>
      <c r="E203" s="1" t="n">
        <v>46317</v>
      </c>
      <c r="F203" t="inlineStr">
        <is>
          <t>VÄSTRA GÖTALANDS LÄN</t>
        </is>
      </c>
      <c r="G203" t="inlineStr">
        <is>
          <t>SKÖVDE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41722-2024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45560</v>
      </c>
      <c r="E204" s="1" t="n">
        <v>46317</v>
      </c>
      <c r="F204" t="inlineStr">
        <is>
          <t>VÄSTRA GÖTALANDS LÄN</t>
        </is>
      </c>
      <c r="G204" t="inlineStr">
        <is>
          <t>SKÖVDE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46317</v>
      </c>
      <c r="F205" t="inlineStr">
        <is>
          <t>VÄSTRA GÖTALANDS LÄN</t>
        </is>
      </c>
      <c r="G205" t="inlineStr">
        <is>
          <t>SKÖVDE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48338-2024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45590</v>
      </c>
      <c r="E206" s="1" t="n">
        <v>46317</v>
      </c>
      <c r="F206" t="inlineStr">
        <is>
          <t>VÄSTRA GÖTALANDS LÄN</t>
        </is>
      </c>
      <c r="G206" t="inlineStr">
        <is>
          <t>SKÖVDE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53740-2023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45230</v>
      </c>
      <c r="E207" s="1" t="n">
        <v>46317</v>
      </c>
      <c r="F207" t="inlineStr">
        <is>
          <t>VÄSTRA GÖTALANDS LÄN</t>
        </is>
      </c>
      <c r="G207" t="inlineStr">
        <is>
          <t>SKÖVDE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46139</v>
      </c>
      <c r="E208" s="1" t="n">
        <v>46317</v>
      </c>
      <c r="F208" t="inlineStr">
        <is>
          <t>VÄSTRA GÖTALANDS LÄN</t>
        </is>
      </c>
      <c r="G208" t="inlineStr">
        <is>
          <t>SKÖVDE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46317</v>
      </c>
      <c r="F209" t="inlineStr">
        <is>
          <t>VÄSTRA GÖTALANDS LÄN</t>
        </is>
      </c>
      <c r="G209" t="inlineStr">
        <is>
          <t>SKÖVDE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46317</v>
      </c>
      <c r="F210" t="inlineStr">
        <is>
          <t>VÄSTRA GÖTALANDS LÄN</t>
        </is>
      </c>
      <c r="G210" t="inlineStr">
        <is>
          <t>SKÖVDE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2901-2026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46038</v>
      </c>
      <c r="E211" s="1" t="n">
        <v>46317</v>
      </c>
      <c r="F211" t="inlineStr">
        <is>
          <t>VÄSTRA GÖTALANDS LÄN</t>
        </is>
      </c>
      <c r="G211" t="inlineStr">
        <is>
          <t>SKÖVDE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12942-2024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45385</v>
      </c>
      <c r="E212" s="1" t="n">
        <v>46317</v>
      </c>
      <c r="F212" t="inlineStr">
        <is>
          <t>VÄSTRA GÖTALANDS LÄN</t>
        </is>
      </c>
      <c r="G212" t="inlineStr">
        <is>
          <t>SKÖVDE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46317</v>
      </c>
      <c r="F213" t="inlineStr">
        <is>
          <t>VÄSTRA GÖTALANDS LÄN</t>
        </is>
      </c>
      <c r="G213" t="inlineStr">
        <is>
          <t>SKÖVDE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46317</v>
      </c>
      <c r="F214" t="inlineStr">
        <is>
          <t>VÄSTRA GÖTALANDS LÄN</t>
        </is>
      </c>
      <c r="G214" t="inlineStr">
        <is>
          <t>SKÖVDE</t>
        </is>
      </c>
      <c r="H214" t="inlineStr">
        <is>
          <t>Kommuner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46317</v>
      </c>
      <c r="F215" t="inlineStr">
        <is>
          <t>VÄSTRA GÖTALANDS LÄN</t>
        </is>
      </c>
      <c r="G215" t="inlineStr">
        <is>
          <t>SKÖVDE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38048-2022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44811</v>
      </c>
      <c r="E216" s="1" t="n">
        <v>46317</v>
      </c>
      <c r="F216" t="inlineStr">
        <is>
          <t>VÄSTRA GÖTALANDS LÄN</t>
        </is>
      </c>
      <c r="G216" t="inlineStr">
        <is>
          <t>SKÖVDE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46317</v>
      </c>
      <c r="F217" t="inlineStr">
        <is>
          <t>VÄSTRA GÖTALANDS LÄN</t>
        </is>
      </c>
      <c r="G217" t="inlineStr">
        <is>
          <t>SKÖVDE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46317</v>
      </c>
      <c r="F218" t="inlineStr">
        <is>
          <t>VÄSTRA GÖTALANDS LÄN</t>
        </is>
      </c>
      <c r="G218" t="inlineStr">
        <is>
          <t>SKÖVDE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45694</v>
      </c>
      <c r="E219" s="1" t="n">
        <v>46317</v>
      </c>
      <c r="F219" t="inlineStr">
        <is>
          <t>VÄSTRA GÖTALANDS LÄN</t>
        </is>
      </c>
      <c r="G219" t="inlineStr">
        <is>
          <t>SKÖVDE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46182</v>
      </c>
      <c r="E220" s="1" t="n">
        <v>46317</v>
      </c>
      <c r="F220" t="inlineStr">
        <is>
          <t>VÄSTRA GÖTALANDS LÄN</t>
        </is>
      </c>
      <c r="G220" t="inlineStr">
        <is>
          <t>SKÖVDE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49416-2023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46317</v>
      </c>
      <c r="F221" t="inlineStr">
        <is>
          <t>VÄSTRA GÖTALANDS LÄN</t>
        </is>
      </c>
      <c r="G221" t="inlineStr">
        <is>
          <t>SKÖVDE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26914-2026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46185</v>
      </c>
      <c r="E222" s="1" t="n">
        <v>46317</v>
      </c>
      <c r="F222" t="inlineStr">
        <is>
          <t>VÄSTRA GÖTALANDS LÄN</t>
        </is>
      </c>
      <c r="G222" t="inlineStr">
        <is>
          <t>SKÖVDE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44586</v>
      </c>
      <c r="E223" s="1" t="n">
        <v>46317</v>
      </c>
      <c r="F223" t="inlineStr">
        <is>
          <t>VÄSTRA GÖTALANDS LÄN</t>
        </is>
      </c>
      <c r="G223" t="inlineStr">
        <is>
          <t>SKÖVDE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46317</v>
      </c>
      <c r="F224" t="inlineStr">
        <is>
          <t>VÄSTRA GÖTALANDS LÄN</t>
        </is>
      </c>
      <c r="G224" t="inlineStr">
        <is>
          <t>SKÖVDE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46317</v>
      </c>
      <c r="F225" t="inlineStr">
        <is>
          <t>VÄSTRA GÖTALANDS LÄN</t>
        </is>
      </c>
      <c r="G225" t="inlineStr">
        <is>
          <t>SKÖVDE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12162-2022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44636</v>
      </c>
      <c r="E226" s="1" t="n">
        <v>46317</v>
      </c>
      <c r="F226" t="inlineStr">
        <is>
          <t>VÄSTRA GÖTALANDS LÄN</t>
        </is>
      </c>
      <c r="G226" t="inlineStr">
        <is>
          <t>SKÖVDE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45737</v>
      </c>
      <c r="E227" s="1" t="n">
        <v>46317</v>
      </c>
      <c r="F227" t="inlineStr">
        <is>
          <t>VÄSTRA GÖTALANDS LÄN</t>
        </is>
      </c>
      <c r="G227" t="inlineStr">
        <is>
          <t>SKÖVDE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59053-2024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45636</v>
      </c>
      <c r="E228" s="1" t="n">
        <v>46317</v>
      </c>
      <c r="F228" t="inlineStr">
        <is>
          <t>VÄSTRA GÖTALANDS LÄN</t>
        </is>
      </c>
      <c r="G228" t="inlineStr">
        <is>
          <t>SKÖVDE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44601</v>
      </c>
      <c r="E229" s="1" t="n">
        <v>46317</v>
      </c>
      <c r="F229" t="inlineStr">
        <is>
          <t>VÄSTRA GÖTALANDS LÄN</t>
        </is>
      </c>
      <c r="G229" t="inlineStr">
        <is>
          <t>SKÖVDE</t>
        </is>
      </c>
      <c r="H229" t="inlineStr">
        <is>
          <t>Kommuner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44963</v>
      </c>
      <c r="E230" s="1" t="n">
        <v>46317</v>
      </c>
      <c r="F230" t="inlineStr">
        <is>
          <t>VÄSTRA GÖTALANDS LÄN</t>
        </is>
      </c>
      <c r="G230" t="inlineStr">
        <is>
          <t>SKÖVDE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46317</v>
      </c>
      <c r="F231" t="inlineStr">
        <is>
          <t>VÄSTRA GÖTALANDS LÄN</t>
        </is>
      </c>
      <c r="G231" t="inlineStr">
        <is>
          <t>SKÖVDE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44600</v>
      </c>
      <c r="E232" s="1" t="n">
        <v>46317</v>
      </c>
      <c r="F232" t="inlineStr">
        <is>
          <t>VÄSTRA GÖTALANDS LÄN</t>
        </is>
      </c>
      <c r="G232" t="inlineStr">
        <is>
          <t>SKÖVDE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18936-2026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46129</v>
      </c>
      <c r="E233" s="1" t="n">
        <v>46317</v>
      </c>
      <c r="F233" t="inlineStr">
        <is>
          <t>VÄSTRA GÖTALANDS LÄN</t>
        </is>
      </c>
      <c r="G233" t="inlineStr">
        <is>
          <t>SKÖVDE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45013</v>
      </c>
      <c r="E234" s="1" t="n">
        <v>46317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67134-2021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44523</v>
      </c>
      <c r="E235" s="1" t="n">
        <v>46317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29248-2023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45105</v>
      </c>
      <c r="E236" s="1" t="n">
        <v>46317</v>
      </c>
      <c r="F236" t="inlineStr">
        <is>
          <t>VÄSTRA GÖTALANDS LÄN</t>
        </is>
      </c>
      <c r="G236" t="inlineStr">
        <is>
          <t>SKÖVDE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45324</v>
      </c>
      <c r="E237" s="1" t="n">
        <v>46317</v>
      </c>
      <c r="F237" t="inlineStr">
        <is>
          <t>VÄSTRA GÖTALANDS LÄN</t>
        </is>
      </c>
      <c r="G237" t="inlineStr">
        <is>
          <t>SKÖVDE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45086</v>
      </c>
      <c r="E238" s="1" t="n">
        <v>46317</v>
      </c>
      <c r="F238" t="inlineStr">
        <is>
          <t>VÄSTRA GÖTALANDS LÄN</t>
        </is>
      </c>
      <c r="G238" t="inlineStr">
        <is>
          <t>SKÖVDE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60117-2021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44495</v>
      </c>
      <c r="E239" s="1" t="n">
        <v>46317</v>
      </c>
      <c r="F239" t="inlineStr">
        <is>
          <t>VÄSTRA GÖTALANDS LÄN</t>
        </is>
      </c>
      <c r="G239" t="inlineStr">
        <is>
          <t>SKÖVDE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38539-2026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46283</v>
      </c>
      <c r="E240" s="1" t="n">
        <v>46317</v>
      </c>
      <c r="F240" t="inlineStr">
        <is>
          <t>VÄSTRA GÖTALANDS LÄN</t>
        </is>
      </c>
      <c r="G240" t="inlineStr">
        <is>
          <t>SKÖVDE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35280-2024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45530</v>
      </c>
      <c r="E241" s="1" t="n">
        <v>46317</v>
      </c>
      <c r="F241" t="inlineStr">
        <is>
          <t>VÄSTRA GÖTALANDS LÄN</t>
        </is>
      </c>
      <c r="G241" t="inlineStr">
        <is>
          <t>SKÖVDE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45210</v>
      </c>
      <c r="E242" s="1" t="n">
        <v>46317</v>
      </c>
      <c r="F242" t="inlineStr">
        <is>
          <t>VÄSTRA GÖTALANDS LÄN</t>
        </is>
      </c>
      <c r="G242" t="inlineStr">
        <is>
          <t>SKÖVDE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45320</v>
      </c>
      <c r="E243" s="1" t="n">
        <v>46317</v>
      </c>
      <c r="F243" t="inlineStr">
        <is>
          <t>VÄSTRA GÖTALANDS LÄN</t>
        </is>
      </c>
      <c r="G243" t="inlineStr">
        <is>
          <t>SKÖVDE</t>
        </is>
      </c>
      <c r="I243" t="n">
        <v>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45197</v>
      </c>
      <c r="E244" s="1" t="n">
        <v>46317</v>
      </c>
      <c r="F244" t="inlineStr">
        <is>
          <t>VÄSTRA GÖTALANDS LÄN</t>
        </is>
      </c>
      <c r="G244" t="inlineStr">
        <is>
          <t>SKÖVDE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46288</v>
      </c>
      <c r="E245" s="1" t="n">
        <v>46317</v>
      </c>
      <c r="F245" t="inlineStr">
        <is>
          <t>VÄSTRA GÖTALANDS LÄN</t>
        </is>
      </c>
      <c r="G245" t="inlineStr">
        <is>
          <t>SKÖVDE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45687</v>
      </c>
      <c r="E246" s="1" t="n">
        <v>46317</v>
      </c>
      <c r="F246" t="inlineStr">
        <is>
          <t>VÄSTRA GÖTALANDS LÄN</t>
        </is>
      </c>
      <c r="G246" t="inlineStr">
        <is>
          <t>SKÖVDE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46317</v>
      </c>
      <c r="F247" t="inlineStr">
        <is>
          <t>VÄSTRA GÖTALANDS LÄN</t>
        </is>
      </c>
      <c r="G247" t="inlineStr">
        <is>
          <t>SKÖVDE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27671-2022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44743</v>
      </c>
      <c r="E248" s="1" t="n">
        <v>46317</v>
      </c>
      <c r="F248" t="inlineStr">
        <is>
          <t>VÄSTRA GÖTALANDS LÄN</t>
        </is>
      </c>
      <c r="G248" t="inlineStr">
        <is>
          <t>SKÖVDE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46317</v>
      </c>
      <c r="F249" t="inlineStr">
        <is>
          <t>VÄSTRA GÖTALANDS LÄN</t>
        </is>
      </c>
      <c r="G249" t="inlineStr">
        <is>
          <t>SKÖVDE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46293</v>
      </c>
      <c r="E250" s="1" t="n">
        <v>46317</v>
      </c>
      <c r="F250" t="inlineStr">
        <is>
          <t>VÄSTRA GÖTALANDS LÄN</t>
        </is>
      </c>
      <c r="G250" t="inlineStr">
        <is>
          <t>SKÖVDE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45082</v>
      </c>
      <c r="E251" s="1" t="n">
        <v>46317</v>
      </c>
      <c r="F251" t="inlineStr">
        <is>
          <t>VÄSTRA GÖTALANDS LÄN</t>
        </is>
      </c>
      <c r="G251" t="inlineStr">
        <is>
          <t>SKÖVDE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45742</v>
      </c>
      <c r="E252" s="1" t="n">
        <v>46317</v>
      </c>
      <c r="F252" t="inlineStr">
        <is>
          <t>VÄSTRA GÖTALANDS LÄN</t>
        </is>
      </c>
      <c r="G252" t="inlineStr">
        <is>
          <t>SKÖVDE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45093</v>
      </c>
      <c r="E253" s="1" t="n">
        <v>46317</v>
      </c>
      <c r="F253" t="inlineStr">
        <is>
          <t>VÄSTRA GÖTALANDS LÄN</t>
        </is>
      </c>
      <c r="G253" t="inlineStr">
        <is>
          <t>SKÖVDE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34257-2026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46253</v>
      </c>
      <c r="E254" s="1" t="n">
        <v>46317</v>
      </c>
      <c r="F254" t="inlineStr">
        <is>
          <t>VÄSTRA GÖTALANDS LÄN</t>
        </is>
      </c>
      <c r="G254" t="inlineStr">
        <is>
          <t>SKÖVDE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60588-2023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45259</v>
      </c>
      <c r="E255" s="1" t="n">
        <v>46317</v>
      </c>
      <c r="F255" t="inlineStr">
        <is>
          <t>VÄSTRA GÖTALANDS LÄN</t>
        </is>
      </c>
      <c r="G255" t="inlineStr">
        <is>
          <t>SKÖVDE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20602-2025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45775</v>
      </c>
      <c r="E256" s="1" t="n">
        <v>46317</v>
      </c>
      <c r="F256" t="inlineStr">
        <is>
          <t>VÄSTRA GÖTALANDS LÄN</t>
        </is>
      </c>
      <c r="G256" t="inlineStr">
        <is>
          <t>SKÖVDE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46269</v>
      </c>
      <c r="E257" s="1" t="n">
        <v>46317</v>
      </c>
      <c r="F257" t="inlineStr">
        <is>
          <t>VÄSTRA GÖTALANDS LÄN</t>
        </is>
      </c>
      <c r="G257" t="inlineStr">
        <is>
          <t>SKÖVDE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36665-2026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46272</v>
      </c>
      <c r="E258" s="1" t="n">
        <v>46317</v>
      </c>
      <c r="F258" t="inlineStr">
        <is>
          <t>VÄSTRA GÖTALANDS LÄN</t>
        </is>
      </c>
      <c r="G258" t="inlineStr">
        <is>
          <t>SKÖVDE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46317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46317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2026-10-22T01:55:20Z</dcterms:created>
  <dcterms:modified xmlns:dcterms="http://purl.org/dc/terms/" xmlns:xsi="http://www.w3.org/2001/XMLSchema-instance" xsi:type="dcterms:W3CDTF">2026-10-22T01:55:20Z</dcterms:modified>
</cp:coreProperties>
</file>