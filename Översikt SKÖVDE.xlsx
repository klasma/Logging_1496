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45697</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45697</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45697</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45697</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45697</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45697</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45697</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45697</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45697</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45697</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45697</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45697</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45697</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45697</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45697</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45697</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45697</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45697</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45697</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45697</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45697</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45697</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45697</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45697</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45697</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45697</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45697</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45697</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45697</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45697</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45697</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45697</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45697</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45697</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45697</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45697</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45697</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45697</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45697</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45697</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45697</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45697</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45697</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45697</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45697</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45697</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45697</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45697</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45697</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45697</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45697</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45697</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45697</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45697</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45697</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45697</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45697</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45697</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45697</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45697</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45697</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45697</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45697</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45697</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45697</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45697</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45697</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45697</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45697</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45697</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45697</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45697</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45697</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45697</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45697</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45697</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45697</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45697</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45697</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45697</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45697</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45697</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45697</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45697</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45697</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45697</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45697</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45697</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45697</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45697</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45697</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45697</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45697</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45697</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45697</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45697</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45697</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45697</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45697</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45697</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45697</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45697</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45697</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45697</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45697</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45697</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45697</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45697</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45697</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45697</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45697</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45697</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45697</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45697</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45697</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45697</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45697</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45697</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45697</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45697</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45697</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45697</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45697</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45697</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45697</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45697</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45697</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45697</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45697</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45697</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45697</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45697</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45697</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45697</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45697</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45697</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45697</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45697</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45697</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45697</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45697</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45697</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45697</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45697</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45697</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45697</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45697</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45697</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45697</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45697</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45697</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45697</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45697</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45697</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45697</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45697</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45697</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45697</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45697</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45697</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45697</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45697</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45697</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45697</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45697</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45697</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45697</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45697</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45697</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45697</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45697</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45697</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45697</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45697</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45697</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45697</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45697</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45697</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45697</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45697</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45697</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45697</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45697</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45697</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45697</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45697</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45697</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45697</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45697</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45697</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45697</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45697</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45697</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45697</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45697</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45697</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45697</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45697</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45697</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45697</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45697</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45697</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45697</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45697</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45697</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45697</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45697</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45697</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45697</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45697</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45697</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45697</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45697</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45697</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45697</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45697</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45697</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45697</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45697</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45697</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45697</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45697</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45697</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45697</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45697</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45697</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45697</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45697</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45697</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45697</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45697</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45697</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45697</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45697</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45697</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45697</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45697</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45697</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45697</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45697</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45697</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45697</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45697</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45697</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45697</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45697</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45697</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45697</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45697</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45697</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45697</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45697</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45697</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45697</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45697</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45697</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45697</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45697</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45697</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45697</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45697</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45697</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45697</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45697</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45697</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45697</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45697</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45697</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45697</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45697</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45697</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45697</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45697</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45697</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45697</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45697</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45697</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45697</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45697</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45697</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45697</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45697</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45697</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45697</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45697</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45697</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45697</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45697</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45697</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45697</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45697</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45697</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45697</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45697</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45697</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45697</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45697</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45697</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45697</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45697</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45697</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45697</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45697</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45697</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45697</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45697</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45697</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45697</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45697</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45697</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45697</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45697</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45697</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45697</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45697</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45697</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45697</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45697</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45697</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45697</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45697</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45697</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45697</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45697</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45697</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45697</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45697</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45697</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45697</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45697</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45697</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45697</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45697</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45697</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45697</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45697</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45697</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45697</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45697</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45697</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45697</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45697</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45697</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45697</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45697</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45697</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45697</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45697</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45697</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45697</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45697</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45697</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45697</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45697</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45697</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45697</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45697</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45697</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45697</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45697</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45697</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45697</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45697</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45697</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45697</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45697</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45697</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45697</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45697</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45697</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45697</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45697</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45697</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45697</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45697</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45697</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45697</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45697</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45697</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45697</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45697</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45697</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45697</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45697</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45697</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45697</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45697</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45697</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45697</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45697</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45697</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45697</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45697</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45697</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45697</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45697</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45697</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45697</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45697</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1618-2025</t>
        </is>
      </c>
      <c r="B437" s="1" t="n">
        <v>45670</v>
      </c>
      <c r="C437" s="1" t="n">
        <v>45697</v>
      </c>
      <c r="D437" t="inlineStr">
        <is>
          <t>VÄSTRA GÖTALANDS LÄN</t>
        </is>
      </c>
      <c r="E437" t="inlineStr">
        <is>
          <t>SKÖVDE</t>
        </is>
      </c>
      <c r="G437" t="n">
        <v>3.7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45697</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45697</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4322-2025</t>
        </is>
      </c>
      <c r="B440" s="1" t="n">
        <v>45685</v>
      </c>
      <c r="C440" s="1" t="n">
        <v>45697</v>
      </c>
      <c r="D440" t="inlineStr">
        <is>
          <t>VÄSTRA GÖTALANDS LÄN</t>
        </is>
      </c>
      <c r="E440" t="inlineStr">
        <is>
          <t>SKÖVDE</t>
        </is>
      </c>
      <c r="G440" t="n">
        <v>2.1</v>
      </c>
      <c r="H440" t="n">
        <v>0</v>
      </c>
      <c r="I440" t="n">
        <v>0</v>
      </c>
      <c r="J440" t="n">
        <v>0</v>
      </c>
      <c r="K440" t="n">
        <v>0</v>
      </c>
      <c r="L440" t="n">
        <v>0</v>
      </c>
      <c r="M440" t="n">
        <v>0</v>
      </c>
      <c r="N440" t="n">
        <v>0</v>
      </c>
      <c r="O440" t="n">
        <v>0</v>
      </c>
      <c r="P440" t="n">
        <v>0</v>
      </c>
      <c r="Q440" t="n">
        <v>0</v>
      </c>
      <c r="R440" s="2" t="inlineStr"/>
      <c r="U440">
        <f>HYPERLINK("https://klasma.github.io/Logging_1496/knärot/A 4322-2025 karta knärot.png", "A 4322-2025")</f>
        <v/>
      </c>
      <c r="V440">
        <f>HYPERLINK("https://klasma.github.io/Logging_1496/klagomål/A 4322-2025 FSC-klagomål.docx", "A 4322-2025")</f>
        <v/>
      </c>
      <c r="W440">
        <f>HYPERLINK("https://klasma.github.io/Logging_1496/klagomålsmail/A 4322-2025 FSC-klagomål mail.docx", "A 4322-2025")</f>
        <v/>
      </c>
      <c r="X440">
        <f>HYPERLINK("https://klasma.github.io/Logging_1496/tillsyn/A 4322-2025 tillsynsbegäran.docx", "A 4322-2025")</f>
        <v/>
      </c>
      <c r="Y440">
        <f>HYPERLINK("https://klasma.github.io/Logging_1496/tillsynsmail/A 4322-2025 tillsynsbegäran mail.docx", "A 4322-2025")</f>
        <v/>
      </c>
    </row>
    <row r="441" ht="15" customHeight="1">
      <c r="A441" t="inlineStr">
        <is>
          <t>A 4325-2025</t>
        </is>
      </c>
      <c r="B441" s="1" t="n">
        <v>45685</v>
      </c>
      <c r="C441" s="1" t="n">
        <v>45697</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45697</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4600-2025</t>
        </is>
      </c>
      <c r="B443" s="1" t="n">
        <v>45687</v>
      </c>
      <c r="C443" s="1" t="n">
        <v>45697</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45697</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5466-2025</t>
        </is>
      </c>
      <c r="B445" s="1" t="n">
        <v>45693</v>
      </c>
      <c r="C445" s="1" t="n">
        <v>45697</v>
      </c>
      <c r="D445" t="inlineStr">
        <is>
          <t>VÄSTRA GÖTALANDS LÄN</t>
        </is>
      </c>
      <c r="E445" t="inlineStr">
        <is>
          <t>SKÖVDE</t>
        </is>
      </c>
      <c r="G445" t="n">
        <v>0.5</v>
      </c>
      <c r="H445" t="n">
        <v>0</v>
      </c>
      <c r="I445" t="n">
        <v>0</v>
      </c>
      <c r="J445" t="n">
        <v>0</v>
      </c>
      <c r="K445" t="n">
        <v>0</v>
      </c>
      <c r="L445" t="n">
        <v>0</v>
      </c>
      <c r="M445" t="n">
        <v>0</v>
      </c>
      <c r="N445" t="n">
        <v>0</v>
      </c>
      <c r="O445" t="n">
        <v>0</v>
      </c>
      <c r="P445" t="n">
        <v>0</v>
      </c>
      <c r="Q445" t="n">
        <v>0</v>
      </c>
      <c r="R445" s="2" t="inlineStr"/>
    </row>
    <row r="446" ht="15" customHeight="1">
      <c r="A446" t="inlineStr">
        <is>
          <t>A 5470-2025</t>
        </is>
      </c>
      <c r="B446" s="1" t="n">
        <v>45693</v>
      </c>
      <c r="C446" s="1" t="n">
        <v>45697</v>
      </c>
      <c r="D446" t="inlineStr">
        <is>
          <t>VÄSTRA GÖTALANDS LÄN</t>
        </is>
      </c>
      <c r="E446" t="inlineStr">
        <is>
          <t>SKÖVDE</t>
        </is>
      </c>
      <c r="G446" t="n">
        <v>1.1</v>
      </c>
      <c r="H446" t="n">
        <v>0</v>
      </c>
      <c r="I446" t="n">
        <v>0</v>
      </c>
      <c r="J446" t="n">
        <v>0</v>
      </c>
      <c r="K446" t="n">
        <v>0</v>
      </c>
      <c r="L446" t="n">
        <v>0</v>
      </c>
      <c r="M446" t="n">
        <v>0</v>
      </c>
      <c r="N446" t="n">
        <v>0</v>
      </c>
      <c r="O446" t="n">
        <v>0</v>
      </c>
      <c r="P446" t="n">
        <v>0</v>
      </c>
      <c r="Q446" t="n">
        <v>0</v>
      </c>
      <c r="R446" s="2" t="inlineStr"/>
    </row>
    <row r="447" ht="15" customHeight="1">
      <c r="A447" t="inlineStr">
        <is>
          <t>A 5474-2025</t>
        </is>
      </c>
      <c r="B447" s="1" t="n">
        <v>45693</v>
      </c>
      <c r="C447" s="1" t="n">
        <v>45697</v>
      </c>
      <c r="D447" t="inlineStr">
        <is>
          <t>VÄSTRA GÖTALANDS LÄN</t>
        </is>
      </c>
      <c r="E447" t="inlineStr">
        <is>
          <t>SKÖVDE</t>
        </is>
      </c>
      <c r="G447" t="n">
        <v>1.6</v>
      </c>
      <c r="H447" t="n">
        <v>0</v>
      </c>
      <c r="I447" t="n">
        <v>0</v>
      </c>
      <c r="J447" t="n">
        <v>0</v>
      </c>
      <c r="K447" t="n">
        <v>0</v>
      </c>
      <c r="L447" t="n">
        <v>0</v>
      </c>
      <c r="M447" t="n">
        <v>0</v>
      </c>
      <c r="N447" t="n">
        <v>0</v>
      </c>
      <c r="O447" t="n">
        <v>0</v>
      </c>
      <c r="P447" t="n">
        <v>0</v>
      </c>
      <c r="Q447" t="n">
        <v>0</v>
      </c>
      <c r="R447" s="2" t="inlineStr"/>
    </row>
    <row r="448" ht="15" customHeight="1">
      <c r="A448" t="inlineStr">
        <is>
          <t>A 5478-2025</t>
        </is>
      </c>
      <c r="B448" s="1" t="n">
        <v>45693</v>
      </c>
      <c r="C448" s="1" t="n">
        <v>45697</v>
      </c>
      <c r="D448" t="inlineStr">
        <is>
          <t>VÄSTRA GÖTALANDS LÄN</t>
        </is>
      </c>
      <c r="E448" t="inlineStr">
        <is>
          <t>SKÖVDE</t>
        </is>
      </c>
      <c r="G448" t="n">
        <v>4.3</v>
      </c>
      <c r="H448" t="n">
        <v>0</v>
      </c>
      <c r="I448" t="n">
        <v>0</v>
      </c>
      <c r="J448" t="n">
        <v>0</v>
      </c>
      <c r="K448" t="n">
        <v>0</v>
      </c>
      <c r="L448" t="n">
        <v>0</v>
      </c>
      <c r="M448" t="n">
        <v>0</v>
      </c>
      <c r="N448" t="n">
        <v>0</v>
      </c>
      <c r="O448" t="n">
        <v>0</v>
      </c>
      <c r="P448" t="n">
        <v>0</v>
      </c>
      <c r="Q448" t="n">
        <v>0</v>
      </c>
      <c r="R448" s="2" t="inlineStr"/>
    </row>
    <row r="449" ht="15" customHeight="1">
      <c r="A449" t="inlineStr">
        <is>
          <t>A 5465-2025</t>
        </is>
      </c>
      <c r="B449" s="1" t="n">
        <v>45693</v>
      </c>
      <c r="C449" s="1" t="n">
        <v>45697</v>
      </c>
      <c r="D449" t="inlineStr">
        <is>
          <t>VÄSTRA GÖTALANDS LÄN</t>
        </is>
      </c>
      <c r="E449" t="inlineStr">
        <is>
          <t>SKÖVDE</t>
        </is>
      </c>
      <c r="G449" t="n">
        <v>1</v>
      </c>
      <c r="H449" t="n">
        <v>0</v>
      </c>
      <c r="I449" t="n">
        <v>0</v>
      </c>
      <c r="J449" t="n">
        <v>0</v>
      </c>
      <c r="K449" t="n">
        <v>0</v>
      </c>
      <c r="L449" t="n">
        <v>0</v>
      </c>
      <c r="M449" t="n">
        <v>0</v>
      </c>
      <c r="N449" t="n">
        <v>0</v>
      </c>
      <c r="O449" t="n">
        <v>0</v>
      </c>
      <c r="P449" t="n">
        <v>0</v>
      </c>
      <c r="Q449" t="n">
        <v>0</v>
      </c>
      <c r="R449" s="2" t="inlineStr"/>
    </row>
    <row r="450" ht="15" customHeight="1">
      <c r="A450" t="inlineStr">
        <is>
          <t>A 5469-2025</t>
        </is>
      </c>
      <c r="B450" s="1" t="n">
        <v>45693</v>
      </c>
      <c r="C450" s="1" t="n">
        <v>45697</v>
      </c>
      <c r="D450" t="inlineStr">
        <is>
          <t>VÄSTRA GÖTALANDS LÄN</t>
        </is>
      </c>
      <c r="E450" t="inlineStr">
        <is>
          <t>SKÖVDE</t>
        </is>
      </c>
      <c r="G450" t="n">
        <v>0.8</v>
      </c>
      <c r="H450" t="n">
        <v>0</v>
      </c>
      <c r="I450" t="n">
        <v>0</v>
      </c>
      <c r="J450" t="n">
        <v>0</v>
      </c>
      <c r="K450" t="n">
        <v>0</v>
      </c>
      <c r="L450" t="n">
        <v>0</v>
      </c>
      <c r="M450" t="n">
        <v>0</v>
      </c>
      <c r="N450" t="n">
        <v>0</v>
      </c>
      <c r="O450" t="n">
        <v>0</v>
      </c>
      <c r="P450" t="n">
        <v>0</v>
      </c>
      <c r="Q450" t="n">
        <v>0</v>
      </c>
      <c r="R450" s="2" t="inlineStr"/>
    </row>
    <row r="451" ht="15" customHeight="1">
      <c r="A451" t="inlineStr">
        <is>
          <t>A 5473-2025</t>
        </is>
      </c>
      <c r="B451" s="1" t="n">
        <v>45693</v>
      </c>
      <c r="C451" s="1" t="n">
        <v>45697</v>
      </c>
      <c r="D451" t="inlineStr">
        <is>
          <t>VÄSTRA GÖTALANDS LÄN</t>
        </is>
      </c>
      <c r="E451" t="inlineStr">
        <is>
          <t>SKÖVDE</t>
        </is>
      </c>
      <c r="G451" t="n">
        <v>2.9</v>
      </c>
      <c r="H451" t="n">
        <v>0</v>
      </c>
      <c r="I451" t="n">
        <v>0</v>
      </c>
      <c r="J451" t="n">
        <v>0</v>
      </c>
      <c r="K451" t="n">
        <v>0</v>
      </c>
      <c r="L451" t="n">
        <v>0</v>
      </c>
      <c r="M451" t="n">
        <v>0</v>
      </c>
      <c r="N451" t="n">
        <v>0</v>
      </c>
      <c r="O451" t="n">
        <v>0</v>
      </c>
      <c r="P451" t="n">
        <v>0</v>
      </c>
      <c r="Q451" t="n">
        <v>0</v>
      </c>
      <c r="R451" s="2" t="inlineStr"/>
    </row>
    <row r="452" ht="15" customHeight="1">
      <c r="A452" t="inlineStr">
        <is>
          <t>A 5477-2025</t>
        </is>
      </c>
      <c r="B452" s="1" t="n">
        <v>45693</v>
      </c>
      <c r="C452" s="1" t="n">
        <v>45697</v>
      </c>
      <c r="D452" t="inlineStr">
        <is>
          <t>VÄSTRA GÖTALANDS LÄN</t>
        </is>
      </c>
      <c r="E452" t="inlineStr">
        <is>
          <t>SKÖVDE</t>
        </is>
      </c>
      <c r="G452" t="n">
        <v>0.4</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45697</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45697</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45697</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45697</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45697</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5476-2025</t>
        </is>
      </c>
      <c r="B458" s="1" t="n">
        <v>45693</v>
      </c>
      <c r="C458" s="1" t="n">
        <v>45697</v>
      </c>
      <c r="D458" t="inlineStr">
        <is>
          <t>VÄSTRA GÖTALANDS LÄN</t>
        </is>
      </c>
      <c r="E458" t="inlineStr">
        <is>
          <t>SKÖVDE</t>
        </is>
      </c>
      <c r="G458" t="n">
        <v>1.5</v>
      </c>
      <c r="H458" t="n">
        <v>0</v>
      </c>
      <c r="I458" t="n">
        <v>0</v>
      </c>
      <c r="J458" t="n">
        <v>0</v>
      </c>
      <c r="K458" t="n">
        <v>0</v>
      </c>
      <c r="L458" t="n">
        <v>0</v>
      </c>
      <c r="M458" t="n">
        <v>0</v>
      </c>
      <c r="N458" t="n">
        <v>0</v>
      </c>
      <c r="O458" t="n">
        <v>0</v>
      </c>
      <c r="P458" t="n">
        <v>0</v>
      </c>
      <c r="Q458" t="n">
        <v>0</v>
      </c>
      <c r="R458" s="2" t="inlineStr"/>
    </row>
    <row r="459" ht="15" customHeight="1">
      <c r="A459" t="inlineStr">
        <is>
          <t>A 5717-2025</t>
        </is>
      </c>
      <c r="B459" s="1" t="n">
        <v>45694</v>
      </c>
      <c r="C459" s="1" t="n">
        <v>45697</v>
      </c>
      <c r="D459" t="inlineStr">
        <is>
          <t>VÄSTRA GÖTALANDS LÄN</t>
        </is>
      </c>
      <c r="E459" t="inlineStr">
        <is>
          <t>SKÖVDE</t>
        </is>
      </c>
      <c r="G459" t="n">
        <v>1.4</v>
      </c>
      <c r="H459" t="n">
        <v>0</v>
      </c>
      <c r="I459" t="n">
        <v>0</v>
      </c>
      <c r="J459" t="n">
        <v>0</v>
      </c>
      <c r="K459" t="n">
        <v>0</v>
      </c>
      <c r="L459" t="n">
        <v>0</v>
      </c>
      <c r="M459" t="n">
        <v>0</v>
      </c>
      <c r="N459" t="n">
        <v>0</v>
      </c>
      <c r="O459" t="n">
        <v>0</v>
      </c>
      <c r="P459" t="n">
        <v>0</v>
      </c>
      <c r="Q459" t="n">
        <v>0</v>
      </c>
      <c r="R459" s="2" t="inlineStr"/>
    </row>
    <row r="460">
      <c r="A460" t="inlineStr">
        <is>
          <t>A 5714-2025</t>
        </is>
      </c>
      <c r="B460" s="1" t="n">
        <v>45694</v>
      </c>
      <c r="C460" s="1" t="n">
        <v>45697</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2025-02-09T17:11:46Z</dcterms:created>
  <dcterms:modified xmlns:dcterms="http://purl.org/dc/terms/" xmlns:xsi="http://www.w3.org/2001/XMLSchema-instance" xsi:type="dcterms:W3CDTF">2025-02-09T17:11:47Z</dcterms:modified>
</cp:coreProperties>
</file>