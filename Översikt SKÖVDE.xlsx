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46300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46300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46300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46300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46300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46300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46300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46300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46300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46300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46300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46300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46300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46300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46300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46300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46300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46300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46300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46300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46300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46300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46300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46300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46300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46300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58467-2024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45635</v>
      </c>
      <c r="E33" s="1" t="n">
        <v>46300</v>
      </c>
      <c r="F33" t="inlineStr">
        <is>
          <t>VÄSTRA GÖTALANDS LÄN</t>
        </is>
      </c>
      <c r="G33" t="inlineStr">
        <is>
          <t>SKÖVDE</t>
        </is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Sommarfibbla
Mattlummer</t>
        </is>
      </c>
      <c r="W33">
        <f>HYPERLINK("https://klasma.github.io/Logging_1496/artfynd/A 58467-2024 artfynd.xlsx", "A 58467-2024")</f>
        <v/>
      </c>
      <c r="X33">
        <f>HYPERLINK("https://klasma.github.io/Logging_1496/kartor/A 58467-2024 karta.png", "A 58467-2024")</f>
        <v/>
      </c>
      <c r="Y33">
        <f>HYPERLINK("https://klasma.github.io/Logging_1496/kartor_geotiff/A 58467-2024 georefererad karta.tif", "A 58467-2024")</f>
        <v/>
      </c>
      <c r="AA33">
        <f>HYPERLINK("https://klasma.github.io/Logging_1496/klagomål/A 58467-2024 FSC-klagomål.docx", "A 58467-2024")</f>
        <v/>
      </c>
      <c r="AB33">
        <f>HYPERLINK("https://klasma.github.io/Logging_1496/klagomålsmail/A 58467-2024 FSC-klagomål mail.docx", "A 58467-2024")</f>
        <v/>
      </c>
      <c r="AC33">
        <f>HYPERLINK("https://klasma.github.io/Logging_1496/tillsyn/A 58467-2024 tillsynsbegäran.docx", "A 58467-2024")</f>
        <v/>
      </c>
      <c r="AD33">
        <f>HYPERLINK("https://klasma.github.io/Logging_1496/tillsynsmail/A 58467-2024 tillsynsbegäran mail.docx", "A 58467-2024")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46300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46300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46300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46300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46300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46300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46300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46300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46300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46300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46300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46300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46300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26712-2025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46300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HYPERLINK("https://klasma.github.io/Logging_1496/artfynd/A 26712-2025 artfynd.xlsx", "A 26712-2025")</f>
        <v/>
      </c>
      <c r="X47">
        <f>HYPERLINK("https://klasma.github.io/Logging_1496/kartor/A 26712-2025 karta.png", "A 26712-2025")</f>
        <v/>
      </c>
      <c r="Y47">
        <f>HYPERLINK("https://klasma.github.io/Logging_1496/kartor_geotiff/A 26712-2025 georefererad karta.tif", "A 26712-2025")</f>
        <v/>
      </c>
      <c r="AA47">
        <f>HYPERLINK("https://klasma.github.io/Logging_1496/klagomål/A 26712-2025 FSC-klagomål.docx", "A 26712-2025")</f>
        <v/>
      </c>
      <c r="AB47">
        <f>HYPERLINK("https://klasma.github.io/Logging_1496/klagomålsmail/A 26712-2025 FSC-klagomål mail.docx", "A 26712-2025")</f>
        <v/>
      </c>
      <c r="AC47">
        <f>HYPERLINK("https://klasma.github.io/Logging_1496/tillsyn/A 26712-2025 tillsynsbegäran.docx", "A 26712-2025")</f>
        <v/>
      </c>
      <c r="AD47">
        <f>HYPERLINK("https://klasma.github.io/Logging_1496/tillsynsmail/A 26712-2025 tillsynsbegäran mail.docx", "A 26712-2025")</f>
        <v/>
      </c>
    </row>
    <row r="48" ht="15" customHeight="1">
      <c r="A48" t="inlineStr">
        <is>
          <t>A 6093-2026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46052</v>
      </c>
      <c r="E48" s="1" t="n">
        <v>46300</v>
      </c>
      <c r="F48" t="inlineStr">
        <is>
          <t>VÄSTRA GÖTALANDS LÄN</t>
        </is>
      </c>
      <c r="G48" t="inlineStr">
        <is>
          <t>SKÖVDE</t>
        </is>
      </c>
      <c r="I48" t="n">
        <v>5.8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Svinrot</t>
        </is>
      </c>
      <c r="W48">
        <f>HYPERLINK("https://klasma.github.io/Logging_1496/artfynd/A 6093-2026 artfynd.xlsx", "A 6093-2026")</f>
        <v/>
      </c>
      <c r="X48">
        <f>HYPERLINK("https://klasma.github.io/Logging_1496/kartor/A 6093-2026 karta.png", "A 6093-2026")</f>
        <v/>
      </c>
      <c r="Y48">
        <f>HYPERLINK("https://klasma.github.io/Logging_1496/kartor_geotiff/A 6093-2026 georefererad karta.tif", "A 6093-2026")</f>
        <v/>
      </c>
      <c r="AA48">
        <f>HYPERLINK("https://klasma.github.io/Logging_1496/klagomål/A 6093-2026 FSC-klagomål.docx", "A 6093-2026")</f>
        <v/>
      </c>
      <c r="AB48">
        <f>HYPERLINK("https://klasma.github.io/Logging_1496/klagomålsmail/A 6093-2026 FSC-klagomål mail.docx", "A 6093-2026")</f>
        <v/>
      </c>
      <c r="AC48">
        <f>HYPERLINK("https://klasma.github.io/Logging_1496/tillsyn/A 6093-2026 tillsynsbegäran.docx", "A 6093-2026")</f>
        <v/>
      </c>
      <c r="AD48">
        <f>HYPERLINK("https://klasma.github.io/Logging_1496/tillsynsmail/A 6093-2026 tillsynsbegäran mail.docx", "A 6093-2026")</f>
        <v/>
      </c>
    </row>
    <row r="49" ht="15" customHeight="1">
      <c r="A49" t="inlineStr">
        <is>
          <t>A 47869-2025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46300</v>
      </c>
      <c r="F49" t="inlineStr">
        <is>
          <t>VÄSTRA GÖTALANDS LÄN</t>
        </is>
      </c>
      <c r="G49" t="inlineStr">
        <is>
          <t>SKÖVDE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Backmåra</t>
        </is>
      </c>
      <c r="W49">
        <f>HYPERLINK("https://klasma.github.io/Logging_1496/artfynd/A 47869-2025 artfynd.xlsx", "A 47869-2025")</f>
        <v/>
      </c>
      <c r="X49">
        <f>HYPERLINK("https://klasma.github.io/Logging_1496/kartor/A 47869-2025 karta.png", "A 47869-2025")</f>
        <v/>
      </c>
      <c r="Y49">
        <f>HYPERLINK("https://klasma.github.io/Logging_1496/kartor_geotiff/A 47869-2025 georefererad karta.tif", "A 47869-2025")</f>
        <v/>
      </c>
      <c r="AA49">
        <f>HYPERLINK("https://klasma.github.io/Logging_1496/klagomål/A 47869-2025 FSC-klagomål.docx", "A 47869-2025")</f>
        <v/>
      </c>
      <c r="AB49">
        <f>HYPERLINK("https://klasma.github.io/Logging_1496/klagomålsmail/A 47869-2025 FSC-klagomål mail.docx", "A 47869-2025")</f>
        <v/>
      </c>
      <c r="AC49">
        <f>HYPERLINK("https://klasma.github.io/Logging_1496/tillsyn/A 47869-2025 tillsynsbegäran.docx", "A 47869-2025")</f>
        <v/>
      </c>
      <c r="AD49">
        <f>HYPERLINK("https://klasma.github.io/Logging_1496/tillsynsmail/A 47869-2025 tillsynsbegäran mail.docx", "A 47869-2025")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46300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46300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47898-2023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45204</v>
      </c>
      <c r="E52" s="1" t="n">
        <v>46300</v>
      </c>
      <c r="F52" t="inlineStr">
        <is>
          <t>VÄSTRA GÖTALANDS LÄN</t>
        </is>
      </c>
      <c r="G52" t="inlineStr">
        <is>
          <t>SKÖVDE</t>
        </is>
      </c>
      <c r="I52" t="n">
        <v>9.5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Karminticka</t>
        </is>
      </c>
      <c r="W52">
        <f>HYPERLINK("https://klasma.github.io/Logging_1496/artfynd/A 47898-2023 artfynd.xlsx", "A 47898-2023")</f>
        <v/>
      </c>
      <c r="X52">
        <f>HYPERLINK("https://klasma.github.io/Logging_1496/kartor/A 47898-2023 karta.png", "A 47898-2023")</f>
        <v/>
      </c>
      <c r="Y52">
        <f>HYPERLINK("https://klasma.github.io/Logging_1496/kartor_geotiff/A 47898-2023 georefererad karta.tif", "A 47898-2023")</f>
        <v/>
      </c>
      <c r="AA52">
        <f>HYPERLINK("https://klasma.github.io/Logging_1496/klagomål/A 47898-2023 FSC-klagomål.docx", "A 47898-2023")</f>
        <v/>
      </c>
      <c r="AB52">
        <f>HYPERLINK("https://klasma.github.io/Logging_1496/klagomålsmail/A 47898-2023 FSC-klagomål mail.docx", "A 47898-2023")</f>
        <v/>
      </c>
      <c r="AC52">
        <f>HYPERLINK("https://klasma.github.io/Logging_1496/tillsyn/A 47898-2023 tillsynsbegäran.docx", "A 47898-2023")</f>
        <v/>
      </c>
      <c r="AD52">
        <f>HYPERLINK("https://klasma.github.io/Logging_1496/tillsynsmail/A 47898-2023 tillsynsbegäran mail.docx", "A 47898-2023")</f>
        <v/>
      </c>
    </row>
    <row r="53" ht="15" customHeight="1">
      <c r="A53" t="inlineStr">
        <is>
          <t>A 61213-2024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45645</v>
      </c>
      <c r="E53" s="1" t="n">
        <v>46300</v>
      </c>
      <c r="F53" t="inlineStr">
        <is>
          <t>VÄSTRA GÖTALANDS LÄN</t>
        </is>
      </c>
      <c r="G53" t="inlineStr">
        <is>
          <t>SKÖVDE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Skogsbräsma</t>
        </is>
      </c>
      <c r="W53">
        <f>HYPERLINK("https://klasma.github.io/Logging_1496/artfynd/A 61213-2024 artfynd.xlsx", "A 61213-2024")</f>
        <v/>
      </c>
      <c r="X53">
        <f>HYPERLINK("https://klasma.github.io/Logging_1496/kartor/A 61213-2024 karta.png", "A 61213-2024")</f>
        <v/>
      </c>
      <c r="Y53">
        <f>HYPERLINK("https://klasma.github.io/Logging_1496/kartor_geotiff/A 61213-2024 georefererad karta.tif", "A 61213-2024")</f>
        <v/>
      </c>
      <c r="AA53">
        <f>HYPERLINK("https://klasma.github.io/Logging_1496/klagomål/A 61213-2024 FSC-klagomål.docx", "A 61213-2024")</f>
        <v/>
      </c>
      <c r="AB53">
        <f>HYPERLINK("https://klasma.github.io/Logging_1496/klagomålsmail/A 61213-2024 FSC-klagomål mail.docx", "A 61213-2024")</f>
        <v/>
      </c>
      <c r="AC53">
        <f>HYPERLINK("https://klasma.github.io/Logging_1496/tillsyn/A 61213-2024 tillsynsbegäran.docx", "A 61213-2024")</f>
        <v/>
      </c>
      <c r="AD53">
        <f>HYPERLINK("https://klasma.github.io/Logging_1496/tillsynsmail/A 61213-2024 tillsynsbegäran mail.docx", "A 61213-2024")</f>
        <v/>
      </c>
    </row>
    <row r="54" ht="15" customHeight="1">
      <c r="A54" t="inlineStr">
        <is>
          <t>A 42904-2023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46300</v>
      </c>
      <c r="F54" t="inlineStr">
        <is>
          <t>VÄSTRA GÖTALANDS LÄN</t>
        </is>
      </c>
      <c r="G54" t="inlineStr">
        <is>
          <t>SKÖVDE</t>
        </is>
      </c>
      <c r="H54" t="inlineStr">
        <is>
          <t>Kommuner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Grönvit nattviol</t>
        </is>
      </c>
      <c r="W54">
        <f>HYPERLINK("https://klasma.github.io/Logging_1496/artfynd/A 42904-2023 artfynd.xlsx", "A 42904-2023")</f>
        <v/>
      </c>
      <c r="X54">
        <f>HYPERLINK("https://klasma.github.io/Logging_1496/kartor/A 42904-2023 karta.png", "A 42904-2023")</f>
        <v/>
      </c>
      <c r="Y54">
        <f>HYPERLINK("https://klasma.github.io/Logging_1496/kartor_geotiff/A 42904-2023 georefererad karta.tif", "A 42904-2023")</f>
        <v/>
      </c>
      <c r="AA54">
        <f>HYPERLINK("https://klasma.github.io/Logging_1496/klagomål/A 42904-2023 FSC-klagomål.docx", "A 42904-2023")</f>
        <v/>
      </c>
      <c r="AB54">
        <f>HYPERLINK("https://klasma.github.io/Logging_1496/klagomålsmail/A 42904-2023 FSC-klagomål mail.docx", "A 42904-2023")</f>
        <v/>
      </c>
      <c r="AC54">
        <f>HYPERLINK("https://klasma.github.io/Logging_1496/tillsyn/A 42904-2023 tillsynsbegäran.docx", "A 42904-2023")</f>
        <v/>
      </c>
      <c r="AD54">
        <f>HYPERLINK("https://klasma.github.io/Logging_1496/tillsynsmail/A 42904-2023 tillsynsbegäran mail.docx", "A 42904-2023")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46300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24814-2026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46173</v>
      </c>
      <c r="E56" s="1" t="n">
        <v>46300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HYPERLINK("https://klasma.github.io/Logging_1496/artfynd/A 24814-2026 artfynd.xlsx", "A 24814-2026")</f>
        <v/>
      </c>
      <c r="X56">
        <f>HYPERLINK("https://klasma.github.io/Logging_1496/kartor/A 24814-2026 karta.png", "A 24814-2026")</f>
        <v/>
      </c>
      <c r="Y56">
        <f>HYPERLINK("https://klasma.github.io/Logging_1496/kartor_geotiff/A 24814-2026 georefererad karta.tif", "A 24814-2026")</f>
        <v/>
      </c>
      <c r="AA56">
        <f>HYPERLINK("https://klasma.github.io/Logging_1496/klagomål/A 24814-2026 FSC-klagomål.docx", "A 24814-2026")</f>
        <v/>
      </c>
      <c r="AB56">
        <f>HYPERLINK("https://klasma.github.io/Logging_1496/klagomålsmail/A 24814-2026 FSC-klagomål mail.docx", "A 24814-2026")</f>
        <v/>
      </c>
      <c r="AC56">
        <f>HYPERLINK("https://klasma.github.io/Logging_1496/tillsyn/A 24814-2026 tillsynsbegäran.docx", "A 24814-2026")</f>
        <v/>
      </c>
      <c r="AD56">
        <f>HYPERLINK("https://klasma.github.io/Logging_1496/tillsynsmail/A 24814-2026 tillsynsbegäran mail.docx", "A 24814-2026")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46300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46300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46300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46300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17452-2023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46300</v>
      </c>
      <c r="F61" t="inlineStr">
        <is>
          <t>VÄSTRA GÖTALANDS LÄN</t>
        </is>
      </c>
      <c r="G61" t="inlineStr">
        <is>
          <t>SKÖVDE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17452-2023 artfynd.xlsx", "A 17452-2023")</f>
        <v/>
      </c>
      <c r="X61">
        <f>HYPERLINK("https://klasma.github.io/Logging_1496/kartor/A 17452-2023 karta.png", "A 17452-2023")</f>
        <v/>
      </c>
      <c r="Y61">
        <f>HYPERLINK("https://klasma.github.io/Logging_1496/kartor_geotiff/A 17452-2023 georefererad karta.tif", "A 17452-2023")</f>
        <v/>
      </c>
      <c r="AA61">
        <f>HYPERLINK("https://klasma.github.io/Logging_1496/klagomål/A 17452-2023 FSC-klagomål.docx", "A 17452-2023")</f>
        <v/>
      </c>
      <c r="AB61">
        <f>HYPERLINK("https://klasma.github.io/Logging_1496/klagomålsmail/A 17452-2023 FSC-klagomål mail.docx", "A 17452-2023")</f>
        <v/>
      </c>
      <c r="AC61">
        <f>HYPERLINK("https://klasma.github.io/Logging_1496/tillsyn/A 17452-2023 tillsynsbegäran.docx", "A 17452-2023")</f>
        <v/>
      </c>
      <c r="AD61">
        <f>HYPERLINK("https://klasma.github.io/Logging_1496/tillsynsmail/A 17452-2023 tillsynsbegäran mail.docx", "A 17452-2023")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46300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46300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46300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46300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46300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46300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46300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46300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46300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46300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46300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46300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46300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46300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46300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46300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46300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46300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46300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46300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46300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46300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46300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46300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46300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46300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46300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45197</v>
      </c>
      <c r="E89" s="1" t="n">
        <v>46300</v>
      </c>
      <c r="F89" t="inlineStr">
        <is>
          <t>VÄSTRA GÖTALANDS LÄN</t>
        </is>
      </c>
      <c r="G89" t="inlineStr">
        <is>
          <t>SKÖVDE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46300</v>
      </c>
      <c r="F90" t="inlineStr">
        <is>
          <t>VÄSTRA GÖTALANDS LÄN</t>
        </is>
      </c>
      <c r="G90" t="inlineStr">
        <is>
          <t>SKÖVDE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45756</v>
      </c>
      <c r="E91" s="1" t="n">
        <v>46300</v>
      </c>
      <c r="F91" t="inlineStr">
        <is>
          <t>VÄSTRA GÖTALANDS LÄN</t>
        </is>
      </c>
      <c r="G91" t="inlineStr">
        <is>
          <t>SKÖVDE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46300</v>
      </c>
      <c r="F92" t="inlineStr">
        <is>
          <t>VÄSTRA GÖTALANDS LÄN</t>
        </is>
      </c>
      <c r="G92" t="inlineStr">
        <is>
          <t>SKÖVDE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46300</v>
      </c>
      <c r="F93" t="inlineStr">
        <is>
          <t>VÄSTRA GÖTALANDS LÄN</t>
        </is>
      </c>
      <c r="G93" t="inlineStr">
        <is>
          <t>SKÖVDE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37204-2024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46300</v>
      </c>
      <c r="F94" t="inlineStr">
        <is>
          <t>VÄSTRA GÖTALANDS LÄN</t>
        </is>
      </c>
      <c r="G94" t="inlineStr">
        <is>
          <t>SKÖVDE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62803-2025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46300</v>
      </c>
      <c r="F95" t="inlineStr">
        <is>
          <t>VÄSTRA GÖTALANDS LÄN</t>
        </is>
      </c>
      <c r="G95" t="inlineStr">
        <is>
          <t>SKÖVDE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46300</v>
      </c>
      <c r="F96" t="inlineStr">
        <is>
          <t>VÄSTRA GÖTALANDS LÄN</t>
        </is>
      </c>
      <c r="G96" t="inlineStr">
        <is>
          <t>SKÖVDE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9640-2025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46300</v>
      </c>
      <c r="F97" t="inlineStr">
        <is>
          <t>VÄSTRA GÖTALANDS LÄN</t>
        </is>
      </c>
      <c r="G97" t="inlineStr">
        <is>
          <t>SKÖVDE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46300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Kyrkan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45749</v>
      </c>
      <c r="E99" s="1" t="n">
        <v>46300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46300</v>
      </c>
      <c r="F100" t="inlineStr">
        <is>
          <t>VÄSTRA GÖTALANDS LÄN</t>
        </is>
      </c>
      <c r="G100" t="inlineStr">
        <is>
          <t>SKÖVDE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46300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63453-2025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46300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45853</v>
      </c>
      <c r="E103" s="1" t="n">
        <v>46300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44601</v>
      </c>
      <c r="E104" s="1" t="n">
        <v>46300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46300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46300</v>
      </c>
      <c r="F106" t="inlineStr">
        <is>
          <t>VÄSTRA GÖTALANDS LÄN</t>
        </is>
      </c>
      <c r="G106" t="inlineStr">
        <is>
          <t>SKÖVDE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45889</v>
      </c>
      <c r="E107" s="1" t="n">
        <v>46300</v>
      </c>
      <c r="F107" t="inlineStr">
        <is>
          <t>VÄSTRA GÖTALANDS LÄN</t>
        </is>
      </c>
      <c r="G107" t="inlineStr">
        <is>
          <t>SKÖVDE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46300</v>
      </c>
      <c r="F108" t="inlineStr">
        <is>
          <t>VÄSTRA GÖTALANDS LÄN</t>
        </is>
      </c>
      <c r="G108" t="inlineStr">
        <is>
          <t>SKÖVDE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46017</v>
      </c>
      <c r="E109" s="1" t="n">
        <v>46300</v>
      </c>
      <c r="F109" t="inlineStr">
        <is>
          <t>VÄSTRA GÖTALANDS LÄN</t>
        </is>
      </c>
      <c r="G109" t="inlineStr">
        <is>
          <t>SKÖVDE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46300</v>
      </c>
      <c r="F110" t="inlineStr">
        <is>
          <t>VÄSTRA GÖTALANDS LÄN</t>
        </is>
      </c>
      <c r="G110" t="inlineStr">
        <is>
          <t>SKÖVDE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45230</v>
      </c>
      <c r="E111" s="1" t="n">
        <v>46300</v>
      </c>
      <c r="F111" t="inlineStr">
        <is>
          <t>VÄSTRA GÖTALANDS LÄN</t>
        </is>
      </c>
      <c r="G111" t="inlineStr">
        <is>
          <t>SKÖVDE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46300</v>
      </c>
      <c r="F112" t="inlineStr">
        <is>
          <t>VÄSTRA GÖTALANDS LÄN</t>
        </is>
      </c>
      <c r="G112" t="inlineStr">
        <is>
          <t>SKÖVDE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45710</v>
      </c>
      <c r="E113" s="1" t="n">
        <v>46300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46300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46300</v>
      </c>
      <c r="F115" t="inlineStr">
        <is>
          <t>VÄSTRA GÖTALANDS LÄN</t>
        </is>
      </c>
      <c r="G115" t="inlineStr">
        <is>
          <t>SKÖVDE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46300</v>
      </c>
      <c r="F116" t="inlineStr">
        <is>
          <t>VÄSTRA GÖTALANDS LÄN</t>
        </is>
      </c>
      <c r="G116" t="inlineStr">
        <is>
          <t>SKÖVDE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46036</v>
      </c>
      <c r="E117" s="1" t="n">
        <v>46300</v>
      </c>
      <c r="F117" t="inlineStr">
        <is>
          <t>VÄSTRA GÖTALANDS LÄN</t>
        </is>
      </c>
      <c r="G117" t="inlineStr">
        <is>
          <t>SKÖVDE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45334</v>
      </c>
      <c r="E118" s="1" t="n">
        <v>46300</v>
      </c>
      <c r="F118" t="inlineStr">
        <is>
          <t>VÄSTRA GÖTALANDS LÄN</t>
        </is>
      </c>
      <c r="G118" t="inlineStr">
        <is>
          <t>SKÖVDE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46300</v>
      </c>
      <c r="F119" t="inlineStr">
        <is>
          <t>VÄSTRA GÖTALANDS LÄN</t>
        </is>
      </c>
      <c r="G119" t="inlineStr">
        <is>
          <t>SKÖVDE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12972-2025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46300</v>
      </c>
      <c r="F120" t="inlineStr">
        <is>
          <t>VÄSTRA GÖTALANDS LÄN</t>
        </is>
      </c>
      <c r="G120" t="inlineStr">
        <is>
          <t>SKÖVDE</t>
        </is>
      </c>
      <c r="H120" t="inlineStr">
        <is>
          <t>Kommuner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46300</v>
      </c>
      <c r="F121" t="inlineStr">
        <is>
          <t>VÄSTRA GÖTALANDS LÄN</t>
        </is>
      </c>
      <c r="G121" t="inlineStr">
        <is>
          <t>SKÖVDE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46300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46300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46300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25642-2025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45803</v>
      </c>
      <c r="E125" s="1" t="n">
        <v>46300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46300</v>
      </c>
      <c r="F126" t="inlineStr">
        <is>
          <t>VÄSTRA GÖTALANDS LÄN</t>
        </is>
      </c>
      <c r="G126" t="inlineStr">
        <is>
          <t>SKÖVDE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46300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25639-2025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45800</v>
      </c>
      <c r="E128" s="1" t="n">
        <v>46300</v>
      </c>
      <c r="F128" t="inlineStr">
        <is>
          <t>VÄSTRA GÖTALANDS LÄN</t>
        </is>
      </c>
      <c r="G128" t="inlineStr">
        <is>
          <t>SKÖVDE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6092-2026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46052</v>
      </c>
      <c r="E129" s="1" t="n">
        <v>46300</v>
      </c>
      <c r="F129" t="inlineStr">
        <is>
          <t>VÄSTRA GÖTALANDS LÄN</t>
        </is>
      </c>
      <c r="G129" t="inlineStr">
        <is>
          <t>SKÖVDE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46300</v>
      </c>
      <c r="F130" t="inlineStr">
        <is>
          <t>VÄSTRA GÖTALANDS LÄN</t>
        </is>
      </c>
      <c r="G130" t="inlineStr">
        <is>
          <t>SKÖVDE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46300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46300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59893-2025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45992</v>
      </c>
      <c r="E133" s="1" t="n">
        <v>46300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46300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Övriga statliga verk och myndigheter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46300</v>
      </c>
      <c r="F135" t="inlineStr">
        <is>
          <t>VÄSTRA GÖTALANDS LÄN</t>
        </is>
      </c>
      <c r="G135" t="inlineStr">
        <is>
          <t>SKÖVDE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46300</v>
      </c>
      <c r="F136" t="inlineStr">
        <is>
          <t>VÄSTRA GÖTALANDS LÄN</t>
        </is>
      </c>
      <c r="G136" t="inlineStr">
        <is>
          <t>SKÖVDE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46300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Övriga statliga verk och myndigheter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46300</v>
      </c>
      <c r="F138" t="inlineStr">
        <is>
          <t>VÄSTRA GÖTALANDS LÄN</t>
        </is>
      </c>
      <c r="G138" t="inlineStr">
        <is>
          <t>SKÖVDE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46300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Övriga statliga verk och myndigheter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46009</v>
      </c>
      <c r="E140" s="1" t="n">
        <v>46300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Övriga statliga verk och myndigheter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46300</v>
      </c>
      <c r="F141" t="inlineStr">
        <is>
          <t>VÄSTRA GÖTALANDS LÄN</t>
        </is>
      </c>
      <c r="G141" t="inlineStr">
        <is>
          <t>SKÖVDE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46300</v>
      </c>
      <c r="F142" t="inlineStr">
        <is>
          <t>VÄSTRA GÖTALANDS LÄN</t>
        </is>
      </c>
      <c r="G142" t="inlineStr">
        <is>
          <t>SKÖVDE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46300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46300</v>
      </c>
      <c r="F144" t="inlineStr">
        <is>
          <t>VÄSTRA GÖTALANDS LÄN</t>
        </is>
      </c>
      <c r="G144" t="inlineStr">
        <is>
          <t>SKÖVDE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46300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46300</v>
      </c>
      <c r="F146" t="inlineStr">
        <is>
          <t>VÄSTRA GÖTALANDS LÄN</t>
        </is>
      </c>
      <c r="G146" t="inlineStr">
        <is>
          <t>SKÖVDE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46300</v>
      </c>
      <c r="F147" t="inlineStr">
        <is>
          <t>VÄSTRA GÖTALANDS LÄN</t>
        </is>
      </c>
      <c r="G147" t="inlineStr">
        <is>
          <t>SKÖVDE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46300</v>
      </c>
      <c r="F148" t="inlineStr">
        <is>
          <t>VÄSTRA GÖTALANDS LÄN</t>
        </is>
      </c>
      <c r="G148" t="inlineStr">
        <is>
          <t>SKÖVDE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46300</v>
      </c>
      <c r="F149" t="inlineStr">
        <is>
          <t>VÄSTRA GÖTALANDS LÄN</t>
        </is>
      </c>
      <c r="G149" t="inlineStr">
        <is>
          <t>SKÖVDE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46300</v>
      </c>
      <c r="F150" t="inlineStr">
        <is>
          <t>VÄSTRA GÖTALANDS LÄN</t>
        </is>
      </c>
      <c r="G150" t="inlineStr">
        <is>
          <t>SKÖVDE</t>
        </is>
      </c>
      <c r="I150" t="n">
        <v>12.3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46300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46300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46300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46091</v>
      </c>
      <c r="E154" s="1" t="n">
        <v>46300</v>
      </c>
      <c r="F154" t="inlineStr">
        <is>
          <t>VÄSTRA GÖTALANDS LÄN</t>
        </is>
      </c>
      <c r="G154" t="inlineStr">
        <is>
          <t>SKÖVDE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46300</v>
      </c>
      <c r="F155" t="inlineStr">
        <is>
          <t>VÄSTRA GÖTALANDS LÄN</t>
        </is>
      </c>
      <c r="G155" t="inlineStr">
        <is>
          <t>SKÖVDE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46300</v>
      </c>
      <c r="F156" t="inlineStr">
        <is>
          <t>VÄSTRA GÖTALANDS LÄN</t>
        </is>
      </c>
      <c r="G156" t="inlineStr">
        <is>
          <t>SKÖVDE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60588-2023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45259</v>
      </c>
      <c r="E157" s="1" t="n">
        <v>46300</v>
      </c>
      <c r="F157" t="inlineStr">
        <is>
          <t>VÄSTRA GÖTALANDS LÄN</t>
        </is>
      </c>
      <c r="G157" t="inlineStr">
        <is>
          <t>SKÖVDE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46300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46300</v>
      </c>
      <c r="F159" t="inlineStr">
        <is>
          <t>VÄSTRA GÖTALANDS LÄN</t>
        </is>
      </c>
      <c r="G159" t="inlineStr">
        <is>
          <t>SKÖVDE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46300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46300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46300</v>
      </c>
      <c r="F162" t="inlineStr">
        <is>
          <t>VÄSTRA GÖTALANDS LÄN</t>
        </is>
      </c>
      <c r="G162" t="inlineStr">
        <is>
          <t>SKÖVDE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46300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Kommuner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46300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46300</v>
      </c>
      <c r="F165" t="inlineStr">
        <is>
          <t>VÄSTRA GÖTALANDS LÄN</t>
        </is>
      </c>
      <c r="G165" t="inlineStr">
        <is>
          <t>SKÖVDE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46300</v>
      </c>
      <c r="F166" t="inlineStr">
        <is>
          <t>VÄSTRA GÖTALANDS LÄN</t>
        </is>
      </c>
      <c r="G166" t="inlineStr">
        <is>
          <t>SKÖVDE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46300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46300</v>
      </c>
      <c r="F168" t="inlineStr">
        <is>
          <t>VÄSTRA GÖTALANDS LÄN</t>
        </is>
      </c>
      <c r="G168" t="inlineStr">
        <is>
          <t>SKÖVDE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46001</v>
      </c>
      <c r="E169" s="1" t="n">
        <v>46300</v>
      </c>
      <c r="F169" t="inlineStr">
        <is>
          <t>VÄSTRA GÖTALANDS LÄN</t>
        </is>
      </c>
      <c r="G169" t="inlineStr">
        <is>
          <t>SKÖVDE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61421-2025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46001</v>
      </c>
      <c r="E170" s="1" t="n">
        <v>46300</v>
      </c>
      <c r="F170" t="inlineStr">
        <is>
          <t>VÄSTRA GÖTALANDS LÄN</t>
        </is>
      </c>
      <c r="G170" t="inlineStr">
        <is>
          <t>SKÖVDE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46300</v>
      </c>
      <c r="F171" t="inlineStr">
        <is>
          <t>VÄSTRA GÖTALANDS LÄN</t>
        </is>
      </c>
      <c r="G171" t="inlineStr">
        <is>
          <t>SKÖVDE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46300</v>
      </c>
      <c r="F172" t="inlineStr">
        <is>
          <t>VÄSTRA GÖTALANDS LÄN</t>
        </is>
      </c>
      <c r="G172" t="inlineStr">
        <is>
          <t>SKÖVDE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46300</v>
      </c>
      <c r="F173" t="inlineStr">
        <is>
          <t>VÄSTRA GÖTALANDS LÄN</t>
        </is>
      </c>
      <c r="G173" t="inlineStr">
        <is>
          <t>SKÖVDE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46300</v>
      </c>
      <c r="F174" t="inlineStr">
        <is>
          <t>VÄSTRA GÖTALANDS LÄN</t>
        </is>
      </c>
      <c r="G174" t="inlineStr">
        <is>
          <t>SKÖVDE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46300</v>
      </c>
      <c r="F175" t="inlineStr">
        <is>
          <t>VÄSTRA GÖTALANDS LÄN</t>
        </is>
      </c>
      <c r="G175" t="inlineStr">
        <is>
          <t>SKÖVDE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45847</v>
      </c>
      <c r="E176" s="1" t="n">
        <v>46300</v>
      </c>
      <c r="F176" t="inlineStr">
        <is>
          <t>VÄSTRA GÖTALANDS LÄN</t>
        </is>
      </c>
      <c r="G176" t="inlineStr">
        <is>
          <t>SKÖVDE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46300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46300</v>
      </c>
      <c r="F178" t="inlineStr">
        <is>
          <t>VÄSTRA GÖTALANDS LÄN</t>
        </is>
      </c>
      <c r="G178" t="inlineStr">
        <is>
          <t>SKÖVDE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46300</v>
      </c>
      <c r="F179" t="inlineStr">
        <is>
          <t>VÄSTRA GÖTALANDS LÄN</t>
        </is>
      </c>
      <c r="G179" t="inlineStr">
        <is>
          <t>SKÖVDE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46300</v>
      </c>
      <c r="F180" t="inlineStr">
        <is>
          <t>VÄSTRA GÖTALANDS LÄN</t>
        </is>
      </c>
      <c r="G180" t="inlineStr">
        <is>
          <t>SKÖVDE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46300</v>
      </c>
      <c r="F181" t="inlineStr">
        <is>
          <t>VÄSTRA GÖTALANDS LÄN</t>
        </is>
      </c>
      <c r="G181" t="inlineStr">
        <is>
          <t>SKÖVDE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45846</v>
      </c>
      <c r="E182" s="1" t="n">
        <v>46300</v>
      </c>
      <c r="F182" t="inlineStr">
        <is>
          <t>VÄSTRA GÖTALANDS LÄN</t>
        </is>
      </c>
      <c r="G182" t="inlineStr">
        <is>
          <t>SKÖVDE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46300</v>
      </c>
      <c r="F183" t="inlineStr">
        <is>
          <t>VÄSTRA GÖTALANDS LÄN</t>
        </is>
      </c>
      <c r="G183" t="inlineStr">
        <is>
          <t>SKÖVDE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35280-2024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45530</v>
      </c>
      <c r="E184" s="1" t="n">
        <v>46300</v>
      </c>
      <c r="F184" t="inlineStr">
        <is>
          <t>VÄSTRA GÖTALANDS LÄN</t>
        </is>
      </c>
      <c r="G184" t="inlineStr">
        <is>
          <t>SKÖVDE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45401</v>
      </c>
      <c r="E185" s="1" t="n">
        <v>46300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44963</v>
      </c>
      <c r="E186" s="1" t="n">
        <v>46300</v>
      </c>
      <c r="F186" t="inlineStr">
        <is>
          <t>VÄSTRA GÖTALANDS LÄN</t>
        </is>
      </c>
      <c r="G186" t="inlineStr">
        <is>
          <t>SKÖVDE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45376</v>
      </c>
      <c r="E187" s="1" t="n">
        <v>46300</v>
      </c>
      <c r="F187" t="inlineStr">
        <is>
          <t>VÄSTRA GÖTALANDS LÄN</t>
        </is>
      </c>
      <c r="G187" t="inlineStr">
        <is>
          <t>SKÖVDE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46300</v>
      </c>
      <c r="F188" t="inlineStr">
        <is>
          <t>VÄSTRA GÖTALANDS LÄN</t>
        </is>
      </c>
      <c r="G188" t="inlineStr">
        <is>
          <t>SKÖVDE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46300</v>
      </c>
      <c r="F189" t="inlineStr">
        <is>
          <t>VÄSTRA GÖTALANDS LÄN</t>
        </is>
      </c>
      <c r="G189" t="inlineStr">
        <is>
          <t>SKÖVDE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46300</v>
      </c>
      <c r="F190" t="inlineStr">
        <is>
          <t>VÄSTRA GÖTALANDS LÄN</t>
        </is>
      </c>
      <c r="G190" t="inlineStr">
        <is>
          <t>SKÖVDE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60117-2021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44495</v>
      </c>
      <c r="E191" s="1" t="n">
        <v>46300</v>
      </c>
      <c r="F191" t="inlineStr">
        <is>
          <t>VÄSTRA GÖTALANDS LÄN</t>
        </is>
      </c>
      <c r="G191" t="inlineStr">
        <is>
          <t>SKÖVDE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44600</v>
      </c>
      <c r="E192" s="1" t="n">
        <v>46300</v>
      </c>
      <c r="F192" t="inlineStr">
        <is>
          <t>VÄSTRA GÖTALANDS LÄN</t>
        </is>
      </c>
      <c r="G192" t="inlineStr">
        <is>
          <t>SKÖVDE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46300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46300</v>
      </c>
      <c r="F194" t="inlineStr">
        <is>
          <t>VÄSTRA GÖTALANDS LÄN</t>
        </is>
      </c>
      <c r="G194" t="inlineStr">
        <is>
          <t>SKÖVDE</t>
        </is>
      </c>
      <c r="I194" t="n">
        <v>10.1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46300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46300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46300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46300</v>
      </c>
      <c r="F198" t="inlineStr">
        <is>
          <t>VÄSTRA GÖTALANDS LÄN</t>
        </is>
      </c>
      <c r="G198" t="inlineStr">
        <is>
          <t>SKÖVDE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46300</v>
      </c>
      <c r="F199" t="inlineStr">
        <is>
          <t>VÄSTRA GÖTALANDS LÄN</t>
        </is>
      </c>
      <c r="G199" t="inlineStr">
        <is>
          <t>SKÖVDE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58342-2023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45245</v>
      </c>
      <c r="E200" s="1" t="n">
        <v>46300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46300</v>
      </c>
      <c r="F201" t="inlineStr">
        <is>
          <t>VÄSTRA GÖTALANDS LÄN</t>
        </is>
      </c>
      <c r="G201" t="inlineStr">
        <is>
          <t>SKÖVDE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46300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46139</v>
      </c>
      <c r="E203" s="1" t="n">
        <v>46300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46300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46038</v>
      </c>
      <c r="E205" s="1" t="n">
        <v>46300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46300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45013</v>
      </c>
      <c r="E207" s="1" t="n">
        <v>46300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46300</v>
      </c>
      <c r="F208" t="inlineStr">
        <is>
          <t>VÄSTRA GÖTALANDS LÄN</t>
        </is>
      </c>
      <c r="G208" t="inlineStr">
        <is>
          <t>SKÖVDE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46300</v>
      </c>
      <c r="F209" t="inlineStr">
        <is>
          <t>VÄSTRA GÖTALANDS LÄN</t>
        </is>
      </c>
      <c r="G209" t="inlineStr">
        <is>
          <t>SKÖVDE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45086</v>
      </c>
      <c r="E210" s="1" t="n">
        <v>46300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13669-2023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45006</v>
      </c>
      <c r="E211" s="1" t="n">
        <v>46300</v>
      </c>
      <c r="F211" t="inlineStr">
        <is>
          <t>VÄSTRA GÖTALANDS LÄN</t>
        </is>
      </c>
      <c r="G211" t="inlineStr">
        <is>
          <t>SKÖVDE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46300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46300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26914-2026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46185</v>
      </c>
      <c r="E214" s="1" t="n">
        <v>46300</v>
      </c>
      <c r="F214" t="inlineStr">
        <is>
          <t>VÄSTRA GÖTALANDS LÄN</t>
        </is>
      </c>
      <c r="G214" t="inlineStr">
        <is>
          <t>SKÖVDE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46300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46300</v>
      </c>
      <c r="F216" t="inlineStr">
        <is>
          <t>VÄSTRA GÖTALANDS LÄN</t>
        </is>
      </c>
      <c r="G216" t="inlineStr">
        <is>
          <t>SKÖVDE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46300</v>
      </c>
      <c r="F217" t="inlineStr">
        <is>
          <t>VÄSTRA GÖTALANDS LÄN</t>
        </is>
      </c>
      <c r="G217" t="inlineStr">
        <is>
          <t>SKÖVDE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46300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44599</v>
      </c>
      <c r="E219" s="1" t="n">
        <v>46300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46300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46300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46300</v>
      </c>
      <c r="F222" t="inlineStr">
        <is>
          <t>VÄSTRA GÖTALANDS LÄN</t>
        </is>
      </c>
      <c r="G222" t="inlineStr">
        <is>
          <t>SKÖVDE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46300</v>
      </c>
      <c r="F223" t="inlineStr">
        <is>
          <t>VÄSTRA GÖTALANDS LÄN</t>
        </is>
      </c>
      <c r="G223" t="inlineStr">
        <is>
          <t>SKÖVDE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46300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46300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46300</v>
      </c>
      <c r="F226" t="inlineStr">
        <is>
          <t>VÄSTRA GÖTALANDS LÄN</t>
        </is>
      </c>
      <c r="G226" t="inlineStr">
        <is>
          <t>SKÖVDE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46300</v>
      </c>
      <c r="F227" t="inlineStr">
        <is>
          <t>VÄSTRA GÖTALANDS LÄN</t>
        </is>
      </c>
      <c r="G227" t="inlineStr">
        <is>
          <t>SKÖVDE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46272</v>
      </c>
      <c r="E228" s="1" t="n">
        <v>46300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44820</v>
      </c>
      <c r="E229" s="1" t="n">
        <v>46300</v>
      </c>
      <c r="F229" t="inlineStr">
        <is>
          <t>VÄSTRA GÖTALANDS LÄN</t>
        </is>
      </c>
      <c r="G229" t="inlineStr">
        <is>
          <t>SKÖVDE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45299</v>
      </c>
      <c r="E230" s="1" t="n">
        <v>46300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45169</v>
      </c>
      <c r="E231" s="1" t="n">
        <v>46300</v>
      </c>
      <c r="F231" t="inlineStr">
        <is>
          <t>VÄSTRA GÖTALANDS LÄN</t>
        </is>
      </c>
      <c r="G231" t="inlineStr">
        <is>
          <t>SKÖVDE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46300</v>
      </c>
      <c r="F232" t="inlineStr">
        <is>
          <t>VÄSTRA GÖTALANDS LÄN</t>
        </is>
      </c>
      <c r="G232" t="inlineStr">
        <is>
          <t>SKÖVDE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46300</v>
      </c>
      <c r="F233" t="inlineStr">
        <is>
          <t>VÄSTRA GÖTALANDS LÄN</t>
        </is>
      </c>
      <c r="G233" t="inlineStr">
        <is>
          <t>SKÖVDE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46300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46283</v>
      </c>
      <c r="E235" s="1" t="n">
        <v>46300</v>
      </c>
      <c r="F235" t="inlineStr">
        <is>
          <t>VÄSTRA GÖTALANDS LÄN</t>
        </is>
      </c>
      <c r="G235" t="inlineStr">
        <is>
          <t>SKÖVDE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46300</v>
      </c>
      <c r="F236" t="inlineStr">
        <is>
          <t>VÄSTRA GÖTALANDS LÄN</t>
        </is>
      </c>
      <c r="G236" t="inlineStr">
        <is>
          <t>SKÖVDE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45687</v>
      </c>
      <c r="E237" s="1" t="n">
        <v>46300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46300</v>
      </c>
      <c r="F238" t="inlineStr">
        <is>
          <t>VÄSTRA GÖTALANDS LÄN</t>
        </is>
      </c>
      <c r="G238" t="inlineStr">
        <is>
          <t>SKÖVDE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46288</v>
      </c>
      <c r="E239" s="1" t="n">
        <v>46300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46300</v>
      </c>
      <c r="F240" t="inlineStr">
        <is>
          <t>VÄSTRA GÖTALANDS LÄN</t>
        </is>
      </c>
      <c r="G240" t="inlineStr">
        <is>
          <t>SKÖVDE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46293</v>
      </c>
      <c r="E241" s="1" t="n">
        <v>46300</v>
      </c>
      <c r="F241" t="inlineStr">
        <is>
          <t>VÄSTRA GÖTALANDS LÄN</t>
        </is>
      </c>
      <c r="G241" t="inlineStr">
        <is>
          <t>SKÖVDE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48336-2024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45590</v>
      </c>
      <c r="E242" s="1" t="n">
        <v>46300</v>
      </c>
      <c r="F242" t="inlineStr">
        <is>
          <t>VÄSTRA GÖTALANDS LÄN</t>
        </is>
      </c>
      <c r="G242" t="inlineStr">
        <is>
          <t>SKÖVDE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17798-2024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45418</v>
      </c>
      <c r="E243" s="1" t="n">
        <v>46300</v>
      </c>
      <c r="F243" t="inlineStr">
        <is>
          <t>VÄSTRA GÖTALANDS LÄN</t>
        </is>
      </c>
      <c r="G243" t="inlineStr">
        <is>
          <t>SKÖVDE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45301</v>
      </c>
      <c r="E244" s="1" t="n">
        <v>46300</v>
      </c>
      <c r="F244" t="inlineStr">
        <is>
          <t>VÄSTRA GÖTALANDS LÄN</t>
        </is>
      </c>
      <c r="G244" t="inlineStr">
        <is>
          <t>SKÖVDE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46253</v>
      </c>
      <c r="E245" s="1" t="n">
        <v>46300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46300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7869-2025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46300</v>
      </c>
      <c r="F247" t="inlineStr">
        <is>
          <t>VÄSTRA GÖTALANDS LÄN</t>
        </is>
      </c>
      <c r="G247" t="inlineStr">
        <is>
          <t>SKÖVDE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46300</v>
      </c>
      <c r="F248" t="inlineStr">
        <is>
          <t>VÄSTRA GÖTALANDS LÄN</t>
        </is>
      </c>
      <c r="G248" t="inlineStr">
        <is>
          <t>SKÖVDE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46300</v>
      </c>
      <c r="F249" t="inlineStr">
        <is>
          <t>VÄSTRA GÖTALANDS LÄN</t>
        </is>
      </c>
      <c r="G249" t="inlineStr">
        <is>
          <t>SKÖVDE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46300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46300</v>
      </c>
      <c r="F251" t="inlineStr">
        <is>
          <t>VÄSTRA GÖTALANDS LÄN</t>
        </is>
      </c>
      <c r="G251" t="inlineStr">
        <is>
          <t>SKÖVDE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46300</v>
      </c>
      <c r="F252" t="inlineStr">
        <is>
          <t>VÄSTRA GÖTALANDS LÄN</t>
        </is>
      </c>
      <c r="G252" t="inlineStr">
        <is>
          <t>SKÖVDE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44804</v>
      </c>
      <c r="E253" s="1" t="n">
        <v>46300</v>
      </c>
      <c r="F253" t="inlineStr">
        <is>
          <t>VÄSTRA GÖTALANDS LÄN</t>
        </is>
      </c>
      <c r="G253" t="inlineStr">
        <is>
          <t>SKÖVDE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46300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46300</v>
      </c>
      <c r="F255" t="inlineStr">
        <is>
          <t>VÄSTRA GÖTALANDS LÄN</t>
        </is>
      </c>
      <c r="G255" t="inlineStr">
        <is>
          <t>SKÖVDE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46300</v>
      </c>
      <c r="F256" t="inlineStr">
        <is>
          <t>VÄSTRA GÖTALANDS LÄN</t>
        </is>
      </c>
      <c r="G256" t="inlineStr">
        <is>
          <t>SKÖVDE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46300</v>
      </c>
      <c r="F257" t="inlineStr">
        <is>
          <t>VÄSTRA GÖTALANDS LÄN</t>
        </is>
      </c>
      <c r="G257" t="inlineStr">
        <is>
          <t>SKÖVDE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46300</v>
      </c>
      <c r="F258" t="inlineStr">
        <is>
          <t>VÄSTRA GÖTALANDS LÄN</t>
        </is>
      </c>
      <c r="G258" t="inlineStr">
        <is>
          <t>SKÖVDE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46300</v>
      </c>
      <c r="F259" t="inlineStr">
        <is>
          <t>VÄSTRA GÖTALANDS LÄN</t>
        </is>
      </c>
      <c r="G259" t="inlineStr">
        <is>
          <t>SKÖVDE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46300</v>
      </c>
      <c r="F260" t="inlineStr">
        <is>
          <t>VÄSTRA GÖTALANDS LÄN</t>
        </is>
      </c>
      <c r="G260" t="inlineStr">
        <is>
          <t>SKÖVDE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46300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46300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2026-10-05T01:51:30Z</dcterms:created>
  <dcterms:modified xmlns:dcterms="http://purl.org/dc/terms/" xmlns:xsi="http://www.w3.org/2001/XMLSchema-instance" xsi:type="dcterms:W3CDTF">2026-10-05T01:51:31Z</dcterms:modified>
</cp:coreProperties>
</file>