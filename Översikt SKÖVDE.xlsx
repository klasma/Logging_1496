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46280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46280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46280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46280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46280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46280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46280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46280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46280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46280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46280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46280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46280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46280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46280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46280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31621-2024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45506</v>
      </c>
      <c r="E18" s="1" t="n">
        <v>46280</v>
      </c>
      <c r="F18" t="inlineStr">
        <is>
          <t>VÄSTRA GÖTALANDS LÄN</t>
        </is>
      </c>
      <c r="G18" t="inlineStr">
        <is>
          <t>SKÖVDE</t>
        </is>
      </c>
      <c r="I18" t="n">
        <v>1.3</v>
      </c>
      <c r="J18" t="n">
        <v>0</v>
      </c>
      <c r="K18" t="n">
        <v>0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Ask
Plattsäv
Majviva</t>
        </is>
      </c>
      <c r="W18">
        <f>HYPERLINK("https://klasma.github.io/Logging_1496/artfynd/A 31621-2024 artfynd.xlsx", "A 31621-2024")</f>
        <v/>
      </c>
      <c r="X18">
        <f>HYPERLINK("https://klasma.github.io/Logging_1496/kartor/A 31621-2024 karta.png", "A 31621-2024")</f>
        <v/>
      </c>
      <c r="Y18">
        <f>HYPERLINK("https://klasma.github.io/Logging_1496/kartor_geotiff/A 31621-2024 georefererad karta.tif", "A 31621-2024")</f>
        <v/>
      </c>
      <c r="AA18">
        <f>HYPERLINK("https://klasma.github.io/Logging_1496/klagomål/A 31621-2024 FSC-klagomål.docx", "A 31621-2024")</f>
        <v/>
      </c>
      <c r="AB18">
        <f>HYPERLINK("https://klasma.github.io/Logging_1496/klagomålsmail/A 31621-2024 FSC-klagomål mail.docx", "A 31621-2024")</f>
        <v/>
      </c>
      <c r="AC18">
        <f>HYPERLINK("https://klasma.github.io/Logging_1496/tillsyn/A 31621-2024 tillsynsbegäran.docx", "A 31621-2024")</f>
        <v/>
      </c>
      <c r="AD18">
        <f>HYPERLINK("https://klasma.github.io/Logging_1496/tillsynsmail/A 31621-2024 tillsynsbegäran mail.docx", "A 31621-2024")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46280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46280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46280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100-2023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46280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1.4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Borsttåg
Ängsstarr
Purpurknipprot</t>
        </is>
      </c>
      <c r="W22">
        <f>HYPERLINK("https://klasma.github.io/Logging_1496/artfynd/A 100-2023 artfynd.xlsx", "A 100-2023")</f>
        <v/>
      </c>
      <c r="X22">
        <f>HYPERLINK("https://klasma.github.io/Logging_1496/kartor/A 100-2023 karta.png", "A 100-2023")</f>
        <v/>
      </c>
      <c r="Y22">
        <f>HYPERLINK("https://klasma.github.io/Logging_1496/kartor_geotiff/A 100-2023 georefererad karta.tif", "A 100-2023")</f>
        <v/>
      </c>
      <c r="AA22">
        <f>HYPERLINK("https://klasma.github.io/Logging_1496/klagomål/A 100-2023 FSC-klagomål.docx", "A 100-2023")</f>
        <v/>
      </c>
      <c r="AB22">
        <f>HYPERLINK("https://klasma.github.io/Logging_1496/klagomålsmail/A 100-2023 FSC-klagomål mail.docx", "A 100-2023")</f>
        <v/>
      </c>
      <c r="AC22">
        <f>HYPERLINK("https://klasma.github.io/Logging_1496/tillsyn/A 100-2023 tillsynsbegäran.docx", "A 100-2023")</f>
        <v/>
      </c>
      <c r="AD22">
        <f>HYPERLINK("https://klasma.github.io/Logging_1496/tillsynsmail/A 100-2023 tillsynsbegäran mail.docx", "A 100-2023")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46280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46280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46280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46280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27109-2024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46280</v>
      </c>
      <c r="F27" t="inlineStr">
        <is>
          <t>VÄSTRA GÖTALANDS LÄN</t>
        </is>
      </c>
      <c r="G27" t="inlineStr">
        <is>
          <t>SKÖVDE</t>
        </is>
      </c>
      <c r="I27" t="n">
        <v>2.7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Backstarr
Jungfrulin</t>
        </is>
      </c>
      <c r="W27">
        <f>HYPERLINK("https://klasma.github.io/Logging_1496/artfynd/A 27109-2024 artfynd.xlsx", "A 27109-2024")</f>
        <v/>
      </c>
      <c r="X27">
        <f>HYPERLINK("https://klasma.github.io/Logging_1496/kartor/A 27109-2024 karta.png", "A 27109-2024")</f>
        <v/>
      </c>
      <c r="Y27">
        <f>HYPERLINK("https://klasma.github.io/Logging_1496/kartor_geotiff/A 27109-2024 georefererad karta.tif", "A 27109-2024")</f>
        <v/>
      </c>
      <c r="AA27">
        <f>HYPERLINK("https://klasma.github.io/Logging_1496/klagomål/A 27109-2024 FSC-klagomål.docx", "A 27109-2024")</f>
        <v/>
      </c>
      <c r="AB27">
        <f>HYPERLINK("https://klasma.github.io/Logging_1496/klagomålsmail/A 27109-2024 FSC-klagomål mail.docx", "A 27109-2024")</f>
        <v/>
      </c>
      <c r="AC27">
        <f>HYPERLINK("https://klasma.github.io/Logging_1496/tillsyn/A 27109-2024 tillsynsbegäran.docx", "A 27109-2024")</f>
        <v/>
      </c>
      <c r="AD27">
        <f>HYPERLINK("https://klasma.github.io/Logging_1496/tillsynsmail/A 27109-2024 tillsynsbegäran mail.docx", "A 27109-2024")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46280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46280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46280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24996-2025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46280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Granbronssopp
Fjällig taggsvamp s.str.</t>
        </is>
      </c>
      <c r="W31">
        <f>HYPERLINK("https://klasma.github.io/Logging_1496/artfynd/A 24996-2025 artfynd.xlsx", "A 24996-2025")</f>
        <v/>
      </c>
      <c r="X31">
        <f>HYPERLINK("https://klasma.github.io/Logging_1496/kartor/A 24996-2025 karta.png", "A 24996-2025")</f>
        <v/>
      </c>
      <c r="Y31">
        <f>HYPERLINK("https://klasma.github.io/Logging_1496/kartor_geotiff/A 24996-2025 georefererad karta.tif", "A 24996-2025")</f>
        <v/>
      </c>
      <c r="AA31">
        <f>HYPERLINK("https://klasma.github.io/Logging_1496/klagomål/A 24996-2025 FSC-klagomål.docx", "A 24996-2025")</f>
        <v/>
      </c>
      <c r="AB31">
        <f>HYPERLINK("https://klasma.github.io/Logging_1496/klagomålsmail/A 24996-2025 FSC-klagomål mail.docx", "A 24996-2025")</f>
        <v/>
      </c>
      <c r="AC31">
        <f>HYPERLINK("https://klasma.github.io/Logging_1496/tillsyn/A 24996-2025 tillsynsbegäran.docx", "A 24996-2025")</f>
        <v/>
      </c>
      <c r="AD31">
        <f>HYPERLINK("https://klasma.github.io/Logging_1496/tillsynsmail/A 24996-2025 tillsynsbegäran mail.docx", "A 24996-2025")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46280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24383-2025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46280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0.8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Åkergroda</t>
        </is>
      </c>
      <c r="W33">
        <f>HYPERLINK("https://klasma.github.io/Logging_1496/artfynd/A 24383-2025 artfynd.xlsx", "A 24383-2025")</f>
        <v/>
      </c>
      <c r="X33">
        <f>HYPERLINK("https://klasma.github.io/Logging_1496/kartor/A 24383-2025 karta.png", "A 24383-2025")</f>
        <v/>
      </c>
      <c r="Y33">
        <f>HYPERLINK("https://klasma.github.io/Logging_1496/kartor_geotiff/A 24383-2025 georefererad karta.tif", "A 24383-2025")</f>
        <v/>
      </c>
      <c r="AA33">
        <f>HYPERLINK("https://klasma.github.io/Logging_1496/klagomål/A 24383-2025 FSC-klagomål.docx", "A 24383-2025")</f>
        <v/>
      </c>
      <c r="AB33">
        <f>HYPERLINK("https://klasma.github.io/Logging_1496/klagomålsmail/A 24383-2025 FSC-klagomål mail.docx", "A 24383-2025")</f>
        <v/>
      </c>
      <c r="AC33">
        <f>HYPERLINK("https://klasma.github.io/Logging_1496/tillsyn/A 24383-2025 tillsynsbegäran.docx", "A 24383-2025")</f>
        <v/>
      </c>
      <c r="AD33">
        <f>HYPERLINK("https://klasma.github.io/Logging_1496/tillsynsmail/A 24383-2025 tillsynsbegäran mail.docx", "A 24383-2025")</f>
        <v/>
      </c>
      <c r="AE33">
        <f>HYPERLINK("https://klasma.github.io/Logging_1496/fåglar/A 24383-2025 prioriterade fågelarter.docx", "A 24383-2025")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46280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0</v>
      </c>
      <c r="V34" s="2" t="inlineStr">
        <is>
          <t>Ask
Skogsalm</t>
        </is>
      </c>
      <c r="W34">
        <f>HYPERLINK("https://klasma.github.io/Logging_1496/artfynd/A 26907-2026 artfynd.xlsx", "A 26907-2026")</f>
        <v/>
      </c>
      <c r="X34">
        <f>HYPERLINK("https://klasma.github.io/Logging_1496/kartor/A 26907-2026 karta.png", "A 26907-2026")</f>
        <v/>
      </c>
      <c r="Y34">
        <f>HYPERLINK("https://klasma.github.io/Logging_1496/kartor_geotiff/A 26907-2026 georefererad karta.tif", "A 26907-2026")</f>
        <v/>
      </c>
      <c r="AA34">
        <f>HYPERLINK("https://klasma.github.io/Logging_1496/klagomål/A 26907-2026 FSC-klagomål.docx", "A 26907-2026")</f>
        <v/>
      </c>
      <c r="AB34">
        <f>HYPERLINK("https://klasma.github.io/Logging_1496/klagomålsmail/A 26907-2026 FSC-klagomål mail.docx", "A 26907-2026")</f>
        <v/>
      </c>
      <c r="AC34">
        <f>HYPERLINK("https://klasma.github.io/Logging_1496/tillsyn/A 26907-2026 tillsynsbegäran.docx", "A 26907-2026")</f>
        <v/>
      </c>
      <c r="AD34">
        <f>HYPERLINK("https://klasma.github.io/Logging_1496/tillsynsmail/A 26907-2026 tillsynsbegäran mail.docx", "A 26907-2026")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46280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46280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46280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46280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46280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46280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46280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46280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15417-2023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46280</v>
      </c>
      <c r="F43" t="inlineStr">
        <is>
          <t>VÄSTRA GÖTALANDS LÄN</t>
        </is>
      </c>
      <c r="G43" t="inlineStr">
        <is>
          <t>SKÖVDE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Gullpudra</t>
        </is>
      </c>
      <c r="W43">
        <f>HYPERLINK("https://klasma.github.io/Logging_1496/artfynd/A 15417-2023 artfynd.xlsx", "A 15417-2023")</f>
        <v/>
      </c>
      <c r="X43">
        <f>HYPERLINK("https://klasma.github.io/Logging_1496/kartor/A 15417-2023 karta.png", "A 15417-2023")</f>
        <v/>
      </c>
      <c r="Y43">
        <f>HYPERLINK("https://klasma.github.io/Logging_1496/kartor_geotiff/A 15417-2023 georefererad karta.tif", "A 15417-2023")</f>
        <v/>
      </c>
      <c r="AA43">
        <f>HYPERLINK("https://klasma.github.io/Logging_1496/klagomål/A 15417-2023 FSC-klagomål.docx", "A 15417-2023")</f>
        <v/>
      </c>
      <c r="AB43">
        <f>HYPERLINK("https://klasma.github.io/Logging_1496/klagomålsmail/A 15417-2023 FSC-klagomål mail.docx", "A 15417-2023")</f>
        <v/>
      </c>
      <c r="AC43">
        <f>HYPERLINK("https://klasma.github.io/Logging_1496/tillsyn/A 15417-2023 tillsynsbegäran.docx", "A 15417-2023")</f>
        <v/>
      </c>
      <c r="AD43">
        <f>HYPERLINK("https://klasma.github.io/Logging_1496/tillsynsmail/A 15417-2023 tillsynsbegäran mail.docx", "A 15417-2023")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46280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46280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17070-2025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46280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0.9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Korallrot</t>
        </is>
      </c>
      <c r="W46">
        <f>HYPERLINK("https://klasma.github.io/Logging_1496/artfynd/A 17070-2025 artfynd.xlsx", "A 17070-2025")</f>
        <v/>
      </c>
      <c r="X46">
        <f>HYPERLINK("https://klasma.github.io/Logging_1496/kartor/A 17070-2025 karta.png", "A 17070-2025")</f>
        <v/>
      </c>
      <c r="Y46">
        <f>HYPERLINK("https://klasma.github.io/Logging_1496/kartor_geotiff/A 17070-2025 georefererad karta.tif", "A 17070-2025")</f>
        <v/>
      </c>
      <c r="AA46">
        <f>HYPERLINK("https://klasma.github.io/Logging_1496/klagomål/A 17070-2025 FSC-klagomål.docx", "A 17070-2025")</f>
        <v/>
      </c>
      <c r="AB46">
        <f>HYPERLINK("https://klasma.github.io/Logging_1496/klagomålsmail/A 17070-2025 FSC-klagomål mail.docx", "A 17070-2025")</f>
        <v/>
      </c>
      <c r="AC46">
        <f>HYPERLINK("https://klasma.github.io/Logging_1496/tillsyn/A 17070-2025 tillsynsbegäran.docx", "A 17070-2025")</f>
        <v/>
      </c>
      <c r="AD46">
        <f>HYPERLINK("https://klasma.github.io/Logging_1496/tillsynsmail/A 17070-2025 tillsynsbegäran mail.docx", "A 17070-2025")</f>
        <v/>
      </c>
    </row>
    <row r="47" ht="15" customHeight="1">
      <c r="A47" t="inlineStr">
        <is>
          <t>A 4464-2026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46045</v>
      </c>
      <c r="E47" s="1" t="n">
        <v>46280</v>
      </c>
      <c r="F47" t="inlineStr">
        <is>
          <t>VÄSTRA GÖTALANDS LÄN</t>
        </is>
      </c>
      <c r="G47" t="inlineStr">
        <is>
          <t>SKÖVDE</t>
        </is>
      </c>
      <c r="I47" t="n">
        <v>0.7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Myskmadra</t>
        </is>
      </c>
      <c r="W47">
        <f>HYPERLINK("https://klasma.github.io/Logging_1496/artfynd/A 4464-2026 artfynd.xlsx", "A 4464-2026")</f>
        <v/>
      </c>
      <c r="X47">
        <f>HYPERLINK("https://klasma.github.io/Logging_1496/kartor/A 4464-2026 karta.png", "A 4464-2026")</f>
        <v/>
      </c>
      <c r="Y47">
        <f>HYPERLINK("https://klasma.github.io/Logging_1496/kartor_geotiff/A 4464-2026 georefererad karta.tif", "A 4464-2026")</f>
        <v/>
      </c>
      <c r="AA47">
        <f>HYPERLINK("https://klasma.github.io/Logging_1496/klagomål/A 4464-2026 FSC-klagomål.docx", "A 4464-2026")</f>
        <v/>
      </c>
      <c r="AB47">
        <f>HYPERLINK("https://klasma.github.io/Logging_1496/klagomålsmail/A 4464-2026 FSC-klagomål mail.docx", "A 4464-2026")</f>
        <v/>
      </c>
      <c r="AC47">
        <f>HYPERLINK("https://klasma.github.io/Logging_1496/tillsyn/A 4464-2026 tillsynsbegäran.docx", "A 4464-2026")</f>
        <v/>
      </c>
      <c r="AD47">
        <f>HYPERLINK("https://klasma.github.io/Logging_1496/tillsynsmail/A 4464-2026 tillsynsbegäran mail.docx", "A 4464-2026")</f>
        <v/>
      </c>
    </row>
    <row r="48" ht="15" customHeight="1">
      <c r="A48" t="inlineStr">
        <is>
          <t>A 6093-2026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46052</v>
      </c>
      <c r="E48" s="1" t="n">
        <v>46280</v>
      </c>
      <c r="F48" t="inlineStr">
        <is>
          <t>VÄSTRA GÖTALANDS LÄN</t>
        </is>
      </c>
      <c r="G48" t="inlineStr">
        <is>
          <t>SKÖVDE</t>
        </is>
      </c>
      <c r="I48" t="n">
        <v>5.8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Svinrot</t>
        </is>
      </c>
      <c r="W48">
        <f>HYPERLINK("https://klasma.github.io/Logging_1496/artfynd/A 6093-2026 artfynd.xlsx", "A 6093-2026")</f>
        <v/>
      </c>
      <c r="X48">
        <f>HYPERLINK("https://klasma.github.io/Logging_1496/kartor/A 6093-2026 karta.png", "A 6093-2026")</f>
        <v/>
      </c>
      <c r="Y48">
        <f>HYPERLINK("https://klasma.github.io/Logging_1496/kartor_geotiff/A 6093-2026 georefererad karta.tif", "A 6093-2026")</f>
        <v/>
      </c>
      <c r="AA48">
        <f>HYPERLINK("https://klasma.github.io/Logging_1496/klagomål/A 6093-2026 FSC-klagomål.docx", "A 6093-2026")</f>
        <v/>
      </c>
      <c r="AB48">
        <f>HYPERLINK("https://klasma.github.io/Logging_1496/klagomålsmail/A 6093-2026 FSC-klagomål mail.docx", "A 6093-2026")</f>
        <v/>
      </c>
      <c r="AC48">
        <f>HYPERLINK("https://klasma.github.io/Logging_1496/tillsyn/A 6093-2026 tillsynsbegäran.docx", "A 6093-2026")</f>
        <v/>
      </c>
      <c r="AD48">
        <f>HYPERLINK("https://klasma.github.io/Logging_1496/tillsynsmail/A 6093-2026 tillsynsbegäran mail.docx", "A 6093-2026")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46280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46280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46280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24814-2026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46173</v>
      </c>
      <c r="E52" s="1" t="n">
        <v>46280</v>
      </c>
      <c r="F52" t="inlineStr">
        <is>
          <t>VÄSTRA GÖTALANDS LÄN</t>
        </is>
      </c>
      <c r="G52" t="inlineStr">
        <is>
          <t>SKÖVDE</t>
        </is>
      </c>
      <c r="I52" t="n">
        <v>6.6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Vedticka</t>
        </is>
      </c>
      <c r="W52">
        <f>HYPERLINK("https://klasma.github.io/Logging_1496/artfynd/A 24814-2026 artfynd.xlsx", "A 24814-2026")</f>
        <v/>
      </c>
      <c r="X52">
        <f>HYPERLINK("https://klasma.github.io/Logging_1496/kartor/A 24814-2026 karta.png", "A 24814-2026")</f>
        <v/>
      </c>
      <c r="Y52">
        <f>HYPERLINK("https://klasma.github.io/Logging_1496/kartor_geotiff/A 24814-2026 georefererad karta.tif", "A 24814-2026")</f>
        <v/>
      </c>
      <c r="AA52">
        <f>HYPERLINK("https://klasma.github.io/Logging_1496/klagomål/A 24814-2026 FSC-klagomål.docx", "A 24814-2026")</f>
        <v/>
      </c>
      <c r="AB52">
        <f>HYPERLINK("https://klasma.github.io/Logging_1496/klagomålsmail/A 24814-2026 FSC-klagomål mail.docx", "A 24814-2026")</f>
        <v/>
      </c>
      <c r="AC52">
        <f>HYPERLINK("https://klasma.github.io/Logging_1496/tillsyn/A 24814-2026 tillsynsbegäran.docx", "A 24814-2026")</f>
        <v/>
      </c>
      <c r="AD52">
        <f>HYPERLINK("https://klasma.github.io/Logging_1496/tillsynsmail/A 24814-2026 tillsynsbegäran mail.docx", "A 24814-2026")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46280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61213-2024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46280</v>
      </c>
      <c r="F54" t="inlineStr">
        <is>
          <t>VÄSTRA GÖTALANDS LÄN</t>
        </is>
      </c>
      <c r="G54" t="inlineStr">
        <is>
          <t>SKÖVDE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Skogsbräsma</t>
        </is>
      </c>
      <c r="W54">
        <f>HYPERLINK("https://klasma.github.io/Logging_1496/artfynd/A 61213-2024 artfynd.xlsx", "A 61213-2024")</f>
        <v/>
      </c>
      <c r="X54">
        <f>HYPERLINK("https://klasma.github.io/Logging_1496/kartor/A 61213-2024 karta.png", "A 61213-2024")</f>
        <v/>
      </c>
      <c r="Y54">
        <f>HYPERLINK("https://klasma.github.io/Logging_1496/kartor_geotiff/A 61213-2024 georefererad karta.tif", "A 61213-2024")</f>
        <v/>
      </c>
      <c r="AA54">
        <f>HYPERLINK("https://klasma.github.io/Logging_1496/klagomål/A 61213-2024 FSC-klagomål.docx", "A 61213-2024")</f>
        <v/>
      </c>
      <c r="AB54">
        <f>HYPERLINK("https://klasma.github.io/Logging_1496/klagomålsmail/A 61213-2024 FSC-klagomål mail.docx", "A 61213-2024")</f>
        <v/>
      </c>
      <c r="AC54">
        <f>HYPERLINK("https://klasma.github.io/Logging_1496/tillsyn/A 61213-2024 tillsynsbegäran.docx", "A 61213-2024")</f>
        <v/>
      </c>
      <c r="AD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46280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Grönvit nattviol</t>
        </is>
      </c>
      <c r="W55">
        <f>HYPERLINK("https://klasma.github.io/Logging_1496/artfynd/A 42904-2023 artfynd.xlsx", "A 42904-2023")</f>
        <v/>
      </c>
      <c r="X55">
        <f>HYPERLINK("https://klasma.github.io/Logging_1496/kartor/A 42904-2023 karta.png", "A 42904-2023")</f>
        <v/>
      </c>
      <c r="Y55">
        <f>HYPERLINK("https://klasma.github.io/Logging_1496/kartor_geotiff/A 42904-2023 georefererad karta.tif", "A 42904-2023")</f>
        <v/>
      </c>
      <c r="AA55">
        <f>HYPERLINK("https://klasma.github.io/Logging_1496/klagomål/A 42904-2023 FSC-klagomål.docx", "A 42904-2023")</f>
        <v/>
      </c>
      <c r="AB55">
        <f>HYPERLINK("https://klasma.github.io/Logging_1496/klagomålsmail/A 42904-2023 FSC-klagomål mail.docx", "A 42904-2023")</f>
        <v/>
      </c>
      <c r="AC55">
        <f>HYPERLINK("https://klasma.github.io/Logging_1496/tillsyn/A 42904-2023 tillsynsbegäran.docx", "A 42904-2023")</f>
        <v/>
      </c>
      <c r="AD55">
        <f>HYPERLINK("https://klasma.github.io/Logging_1496/tillsynsmail/A 42904-2023 tillsynsbegäran mail.docx", "A 42904-2023")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46280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52377-2023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45224</v>
      </c>
      <c r="E57" s="1" t="n">
        <v>46280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Kransrams</t>
        </is>
      </c>
      <c r="W57">
        <f>HYPERLINK("https://klasma.github.io/Logging_1496/artfynd/A 52377-2023 artfynd.xlsx", "A 52377-2023")</f>
        <v/>
      </c>
      <c r="X57">
        <f>HYPERLINK("https://klasma.github.io/Logging_1496/kartor/A 52377-2023 karta.png", "A 52377-2023")</f>
        <v/>
      </c>
      <c r="Y57">
        <f>HYPERLINK("https://klasma.github.io/Logging_1496/kartor_geotiff/A 52377-2023 georefererad karta.tif", "A 52377-2023")</f>
        <v/>
      </c>
      <c r="AA57">
        <f>HYPERLINK("https://klasma.github.io/Logging_1496/klagomål/A 52377-2023 FSC-klagomål.docx", "A 52377-2023")</f>
        <v/>
      </c>
      <c r="AB57">
        <f>HYPERLINK("https://klasma.github.io/Logging_1496/klagomålsmail/A 52377-2023 FSC-klagomål mail.docx", "A 52377-2023")</f>
        <v/>
      </c>
      <c r="AC57">
        <f>HYPERLINK("https://klasma.github.io/Logging_1496/tillsyn/A 52377-2023 tillsynsbegäran.docx", "A 52377-2023")</f>
        <v/>
      </c>
      <c r="AD57">
        <f>HYPERLINK("https://klasma.github.io/Logging_1496/tillsynsmail/A 52377-2023 tillsynsbegäran mail.docx", "A 52377-2023")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46280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46280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46280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46280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46280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46280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46280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46280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46280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46280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46280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46280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46280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46280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46280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46280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46280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46280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46280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46280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46280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46280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46280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46280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46280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46280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46280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46280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46280</v>
      </c>
      <c r="F86" t="inlineStr">
        <is>
          <t>VÄSTRA GÖTALANDS LÄN</t>
        </is>
      </c>
      <c r="G86" t="inlineStr">
        <is>
          <t>SKÖVDE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46280</v>
      </c>
      <c r="F87" t="inlineStr">
        <is>
          <t>VÄSTRA GÖTALANDS LÄN</t>
        </is>
      </c>
      <c r="G87" t="inlineStr">
        <is>
          <t>SKÖVDE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46280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46280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14969-2025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46280</v>
      </c>
      <c r="F90" t="inlineStr">
        <is>
          <t>VÄSTRA GÖTALANDS LÄN</t>
        </is>
      </c>
      <c r="G90" t="inlineStr">
        <is>
          <t>SKÖVDE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8606-2025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45710</v>
      </c>
      <c r="E91" s="1" t="n">
        <v>46280</v>
      </c>
      <c r="F91" t="inlineStr">
        <is>
          <t>VÄSTRA GÖTALANDS LÄN</t>
        </is>
      </c>
      <c r="G91" t="inlineStr">
        <is>
          <t>SKÖVDE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45792</v>
      </c>
      <c r="E92" s="1" t="n">
        <v>46280</v>
      </c>
      <c r="F92" t="inlineStr">
        <is>
          <t>VÄSTRA GÖTALANDS LÄN</t>
        </is>
      </c>
      <c r="G92" t="inlineStr">
        <is>
          <t>SKÖVDE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37204-2024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45539</v>
      </c>
      <c r="E93" s="1" t="n">
        <v>46280</v>
      </c>
      <c r="F93" t="inlineStr">
        <is>
          <t>VÄSTRA GÖTALANDS LÄN</t>
        </is>
      </c>
      <c r="G93" t="inlineStr">
        <is>
          <t>SKÖVDE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45334</v>
      </c>
      <c r="E94" s="1" t="n">
        <v>46280</v>
      </c>
      <c r="F94" t="inlineStr">
        <is>
          <t>VÄSTRA GÖTALANDS LÄN</t>
        </is>
      </c>
      <c r="G94" t="inlineStr">
        <is>
          <t>SKÖVDE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45142</v>
      </c>
      <c r="E95" s="1" t="n">
        <v>46280</v>
      </c>
      <c r="F95" t="inlineStr">
        <is>
          <t>VÄSTRA GÖTALANDS LÄN</t>
        </is>
      </c>
      <c r="G95" t="inlineStr">
        <is>
          <t>SKÖVDE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46280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Kommuner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46280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17326-2025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45756</v>
      </c>
      <c r="E98" s="1" t="n">
        <v>46280</v>
      </c>
      <c r="F98" t="inlineStr">
        <is>
          <t>VÄSTRA GÖTALANDS LÄN</t>
        </is>
      </c>
      <c r="G98" t="inlineStr">
        <is>
          <t>SKÖVDE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46280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45796</v>
      </c>
      <c r="E100" s="1" t="n">
        <v>46280</v>
      </c>
      <c r="F100" t="inlineStr">
        <is>
          <t>VÄSTRA GÖTALANDS LÄN</t>
        </is>
      </c>
      <c r="G100" t="inlineStr">
        <is>
          <t>SKÖVDE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46280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46280</v>
      </c>
      <c r="F102" t="inlineStr">
        <is>
          <t>VÄSTRA GÖTALANDS LÄN</t>
        </is>
      </c>
      <c r="G102" t="inlineStr">
        <is>
          <t>SKÖVDE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46280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46280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25642-2025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45803</v>
      </c>
      <c r="E105" s="1" t="n">
        <v>46280</v>
      </c>
      <c r="F105" t="inlineStr">
        <is>
          <t>VÄSTRA GÖTALANDS LÄN</t>
        </is>
      </c>
      <c r="G105" t="inlineStr">
        <is>
          <t>SKÖVDE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46280</v>
      </c>
      <c r="F106" t="inlineStr">
        <is>
          <t>VÄSTRA GÖTALANDS LÄN</t>
        </is>
      </c>
      <c r="G106" t="inlineStr">
        <is>
          <t>SKÖVDE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46280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25639-2025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45800</v>
      </c>
      <c r="E108" s="1" t="n">
        <v>46280</v>
      </c>
      <c r="F108" t="inlineStr">
        <is>
          <t>VÄSTRA GÖTALANDS LÄN</t>
        </is>
      </c>
      <c r="G108" t="inlineStr">
        <is>
          <t>SKÖVDE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46280</v>
      </c>
      <c r="F109" t="inlineStr">
        <is>
          <t>VÄSTRA GÖTALANDS LÄN</t>
        </is>
      </c>
      <c r="G109" t="inlineStr">
        <is>
          <t>SKÖVDE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46280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Kommuner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46280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46280</v>
      </c>
      <c r="F112" t="inlineStr">
        <is>
          <t>VÄSTRA GÖTALANDS LÄN</t>
        </is>
      </c>
      <c r="G112" t="inlineStr">
        <is>
          <t>SKÖVDE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46280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45853</v>
      </c>
      <c r="E114" s="1" t="n">
        <v>46280</v>
      </c>
      <c r="F114" t="inlineStr">
        <is>
          <t>VÄSTRA GÖTALANDS LÄN</t>
        </is>
      </c>
      <c r="G114" t="inlineStr">
        <is>
          <t>SKÖVDE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45230</v>
      </c>
      <c r="E115" s="1" t="n">
        <v>46280</v>
      </c>
      <c r="F115" t="inlineStr">
        <is>
          <t>VÄSTRA GÖTALANDS LÄN</t>
        </is>
      </c>
      <c r="G115" t="inlineStr">
        <is>
          <t>SKÖVDE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45810</v>
      </c>
      <c r="E116" s="1" t="n">
        <v>46280</v>
      </c>
      <c r="F116" t="inlineStr">
        <is>
          <t>VÄSTRA GÖTALANDS LÄN</t>
        </is>
      </c>
      <c r="G116" t="inlineStr">
        <is>
          <t>SKÖVDE</t>
        </is>
      </c>
      <c r="I116" t="n">
        <v>12.3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46017</v>
      </c>
      <c r="E117" s="1" t="n">
        <v>46280</v>
      </c>
      <c r="F117" t="inlineStr">
        <is>
          <t>VÄSTRA GÖTALANDS LÄN</t>
        </is>
      </c>
      <c r="G117" t="inlineStr">
        <is>
          <t>SKÖVDE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46280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Kyrkan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46280</v>
      </c>
      <c r="F119" t="inlineStr">
        <is>
          <t>VÄSTRA GÖTALANDS LÄN</t>
        </is>
      </c>
      <c r="G119" t="inlineStr">
        <is>
          <t>SKÖVDE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46280</v>
      </c>
      <c r="F120" t="inlineStr">
        <is>
          <t>VÄSTRA GÖTALANDS LÄN</t>
        </is>
      </c>
      <c r="G120" t="inlineStr">
        <is>
          <t>SKÖVDE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46280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46280</v>
      </c>
      <c r="F122" t="inlineStr">
        <is>
          <t>VÄSTRA GÖTALANDS LÄN</t>
        </is>
      </c>
      <c r="G122" t="inlineStr">
        <is>
          <t>SKÖVDE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46280</v>
      </c>
      <c r="F123" t="inlineStr">
        <is>
          <t>VÄSTRA GÖTALANDS LÄN</t>
        </is>
      </c>
      <c r="G123" t="inlineStr">
        <is>
          <t>SKÖVDE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29012-2025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46280</v>
      </c>
      <c r="F124" t="inlineStr">
        <is>
          <t>VÄSTRA GÖTALANDS LÄN</t>
        </is>
      </c>
      <c r="G124" t="inlineStr">
        <is>
          <t>SKÖVDE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46280</v>
      </c>
      <c r="F125" t="inlineStr">
        <is>
          <t>VÄSTRA GÖTALANDS LÄN</t>
        </is>
      </c>
      <c r="G125" t="inlineStr">
        <is>
          <t>SKÖVDE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46280</v>
      </c>
      <c r="F126" t="inlineStr">
        <is>
          <t>VÄSTRA GÖTALANDS LÄN</t>
        </is>
      </c>
      <c r="G126" t="inlineStr">
        <is>
          <t>SKÖVDE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46280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46280</v>
      </c>
      <c r="F128" t="inlineStr">
        <is>
          <t>VÄSTRA GÖTALANDS LÄN</t>
        </is>
      </c>
      <c r="G128" t="inlineStr">
        <is>
          <t>SKÖVDE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46280</v>
      </c>
      <c r="F129" t="inlineStr">
        <is>
          <t>VÄSTRA GÖTALANDS LÄN</t>
        </is>
      </c>
      <c r="G129" t="inlineStr">
        <is>
          <t>SKÖVDE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46280</v>
      </c>
      <c r="F130" t="inlineStr">
        <is>
          <t>VÄSTRA GÖTALANDS LÄN</t>
        </is>
      </c>
      <c r="G130" t="inlineStr">
        <is>
          <t>SKÖVDE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45827</v>
      </c>
      <c r="E131" s="1" t="n">
        <v>46280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Kommuner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46280</v>
      </c>
      <c r="F132" t="inlineStr">
        <is>
          <t>VÄSTRA GÖTALANDS LÄN</t>
        </is>
      </c>
      <c r="G132" t="inlineStr">
        <is>
          <t>SKÖVDE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46280</v>
      </c>
      <c r="F133" t="inlineStr">
        <is>
          <t>VÄSTRA GÖTALANDS LÄN</t>
        </is>
      </c>
      <c r="G133" t="inlineStr">
        <is>
          <t>SKÖVDE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46280</v>
      </c>
      <c r="F134" t="inlineStr">
        <is>
          <t>VÄSTRA GÖTALANDS LÄN</t>
        </is>
      </c>
      <c r="G134" t="inlineStr">
        <is>
          <t>SKÖVDE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6092-2026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46052</v>
      </c>
      <c r="E135" s="1" t="n">
        <v>46280</v>
      </c>
      <c r="F135" t="inlineStr">
        <is>
          <t>VÄSTRA GÖTALANDS LÄN</t>
        </is>
      </c>
      <c r="G135" t="inlineStr">
        <is>
          <t>SKÖVDE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33053-2025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46280</v>
      </c>
      <c r="F136" t="inlineStr">
        <is>
          <t>VÄSTRA GÖTALANDS LÄN</t>
        </is>
      </c>
      <c r="G136" t="inlineStr">
        <is>
          <t>SKÖVDE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46280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46280</v>
      </c>
      <c r="F138" t="inlineStr">
        <is>
          <t>VÄSTRA GÖTALANDS LÄN</t>
        </is>
      </c>
      <c r="G138" t="inlineStr">
        <is>
          <t>SKÖVDE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20912-2024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45439</v>
      </c>
      <c r="E139" s="1" t="n">
        <v>46280</v>
      </c>
      <c r="F139" t="inlineStr">
        <is>
          <t>VÄSTRA GÖTALANDS LÄN</t>
        </is>
      </c>
      <c r="G139" t="inlineStr">
        <is>
          <t>SKÖVDE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46280</v>
      </c>
      <c r="F140" t="inlineStr">
        <is>
          <t>VÄSTRA GÖTALANDS LÄN</t>
        </is>
      </c>
      <c r="G140" t="inlineStr">
        <is>
          <t>SKÖVDE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46280</v>
      </c>
      <c r="F141" t="inlineStr">
        <is>
          <t>VÄSTRA GÖTALANDS LÄN</t>
        </is>
      </c>
      <c r="G141" t="inlineStr">
        <is>
          <t>SKÖVDE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45846</v>
      </c>
      <c r="E142" s="1" t="n">
        <v>46280</v>
      </c>
      <c r="F142" t="inlineStr">
        <is>
          <t>VÄSTRA GÖTALANDS LÄN</t>
        </is>
      </c>
      <c r="G142" t="inlineStr">
        <is>
          <t>SKÖVDE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46280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45846</v>
      </c>
      <c r="E144" s="1" t="n">
        <v>46280</v>
      </c>
      <c r="F144" t="inlineStr">
        <is>
          <t>VÄSTRA GÖTALANDS LÄN</t>
        </is>
      </c>
      <c r="G144" t="inlineStr">
        <is>
          <t>SKÖVDE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46280</v>
      </c>
      <c r="F145" t="inlineStr">
        <is>
          <t>VÄSTRA GÖTALANDS LÄN</t>
        </is>
      </c>
      <c r="G145" t="inlineStr">
        <is>
          <t>SKÖVDE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46280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Övriga statliga verk och myndigheter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46062</v>
      </c>
      <c r="E147" s="1" t="n">
        <v>46280</v>
      </c>
      <c r="F147" t="inlineStr">
        <is>
          <t>VÄSTRA GÖTALANDS LÄN</t>
        </is>
      </c>
      <c r="G147" t="inlineStr">
        <is>
          <t>SKÖVDE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46280</v>
      </c>
      <c r="F148" t="inlineStr">
        <is>
          <t>VÄSTRA GÖTALANDS LÄN</t>
        </is>
      </c>
      <c r="G148" t="inlineStr">
        <is>
          <t>SKÖVDE</t>
        </is>
      </c>
      <c r="H148" t="inlineStr">
        <is>
          <t>Övriga statliga verk och myndigheter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63374-2025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46009</v>
      </c>
      <c r="E149" s="1" t="n">
        <v>46280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Övriga statliga verk och myndigheter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46009</v>
      </c>
      <c r="E150" s="1" t="n">
        <v>46280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Övriga statliga verk och myndigheter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46280</v>
      </c>
      <c r="F151" t="inlineStr">
        <is>
          <t>VÄSTRA GÖTALANDS LÄN</t>
        </is>
      </c>
      <c r="G151" t="inlineStr">
        <is>
          <t>SKÖVDE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46280</v>
      </c>
      <c r="F152" t="inlineStr">
        <is>
          <t>VÄSTRA GÖTALANDS LÄN</t>
        </is>
      </c>
      <c r="G152" t="inlineStr">
        <is>
          <t>SKÖVDE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46280</v>
      </c>
      <c r="F153" t="inlineStr">
        <is>
          <t>VÄSTRA GÖTALANDS LÄN</t>
        </is>
      </c>
      <c r="G153" t="inlineStr">
        <is>
          <t>SKÖVDE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46280</v>
      </c>
      <c r="F154" t="inlineStr">
        <is>
          <t>VÄSTRA GÖTALANDS LÄN</t>
        </is>
      </c>
      <c r="G154" t="inlineStr">
        <is>
          <t>SKÖVDE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45932</v>
      </c>
      <c r="E155" s="1" t="n">
        <v>46280</v>
      </c>
      <c r="F155" t="inlineStr">
        <is>
          <t>VÄSTRA GÖTALANDS LÄN</t>
        </is>
      </c>
      <c r="G155" t="inlineStr">
        <is>
          <t>SKÖVDE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45937</v>
      </c>
      <c r="E156" s="1" t="n">
        <v>46280</v>
      </c>
      <c r="F156" t="inlineStr">
        <is>
          <t>VÄSTRA GÖTALANDS LÄN</t>
        </is>
      </c>
      <c r="G156" t="inlineStr">
        <is>
          <t>SKÖVDE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46280</v>
      </c>
      <c r="F157" t="inlineStr">
        <is>
          <t>VÄSTRA GÖTALANDS LÄN</t>
        </is>
      </c>
      <c r="G157" t="inlineStr">
        <is>
          <t>SKÖVDE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46280</v>
      </c>
      <c r="F158" t="inlineStr">
        <is>
          <t>VÄSTRA GÖTALANDS LÄN</t>
        </is>
      </c>
      <c r="G158" t="inlineStr">
        <is>
          <t>SKÖVDE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46280</v>
      </c>
      <c r="F159" t="inlineStr">
        <is>
          <t>VÄSTRA GÖTALANDS LÄN</t>
        </is>
      </c>
      <c r="G159" t="inlineStr">
        <is>
          <t>SKÖVDE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50829-2022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44862</v>
      </c>
      <c r="E160" s="1" t="n">
        <v>46280</v>
      </c>
      <c r="F160" t="inlineStr">
        <is>
          <t>VÄSTRA GÖTALANDS LÄN</t>
        </is>
      </c>
      <c r="G160" t="inlineStr">
        <is>
          <t>SKÖVDE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46091</v>
      </c>
      <c r="E161" s="1" t="n">
        <v>46280</v>
      </c>
      <c r="F161" t="inlineStr">
        <is>
          <t>VÄSTRA GÖTALANDS LÄN</t>
        </is>
      </c>
      <c r="G161" t="inlineStr">
        <is>
          <t>SKÖVDE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14281-2026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46280</v>
      </c>
      <c r="F162" t="inlineStr">
        <is>
          <t>VÄSTRA GÖTALANDS LÄN</t>
        </is>
      </c>
      <c r="G162" t="inlineStr">
        <is>
          <t>SKÖVDE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46280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46280</v>
      </c>
      <c r="F164" t="inlineStr">
        <is>
          <t>VÄSTRA GÖTALANDS LÄN</t>
        </is>
      </c>
      <c r="G164" t="inlineStr">
        <is>
          <t>SKÖVDE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60588-2023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45259</v>
      </c>
      <c r="E165" s="1" t="n">
        <v>46280</v>
      </c>
      <c r="F165" t="inlineStr">
        <is>
          <t>VÄSTRA GÖTALANDS LÄN</t>
        </is>
      </c>
      <c r="G165" t="inlineStr">
        <is>
          <t>SKÖVDE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46280</v>
      </c>
      <c r="F166" t="inlineStr">
        <is>
          <t>VÄSTRA GÖTALANDS LÄN</t>
        </is>
      </c>
      <c r="G166" t="inlineStr">
        <is>
          <t>SKÖVDE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46280</v>
      </c>
      <c r="F167" t="inlineStr">
        <is>
          <t>VÄSTRA GÖTALANDS LÄN</t>
        </is>
      </c>
      <c r="G167" t="inlineStr">
        <is>
          <t>SKÖVDE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46280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45670</v>
      </c>
      <c r="E169" s="1" t="n">
        <v>46280</v>
      </c>
      <c r="F169" t="inlineStr">
        <is>
          <t>VÄSTRA GÖTALANDS LÄN</t>
        </is>
      </c>
      <c r="G169" t="inlineStr">
        <is>
          <t>SKÖVDE</t>
        </is>
      </c>
      <c r="I169" t="n">
        <v>11.8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46280</v>
      </c>
      <c r="F170" t="inlineStr">
        <is>
          <t>VÄSTRA GÖTALANDS LÄN</t>
        </is>
      </c>
      <c r="G170" t="inlineStr">
        <is>
          <t>SKÖVDE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45847</v>
      </c>
      <c r="E171" s="1" t="n">
        <v>46280</v>
      </c>
      <c r="F171" t="inlineStr">
        <is>
          <t>VÄSTRA GÖTALANDS LÄN</t>
        </is>
      </c>
      <c r="G171" t="inlineStr">
        <is>
          <t>SKÖVDE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45693</v>
      </c>
      <c r="E172" s="1" t="n">
        <v>46280</v>
      </c>
      <c r="F172" t="inlineStr">
        <is>
          <t>VÄSTRA GÖTALANDS LÄN</t>
        </is>
      </c>
      <c r="G172" t="inlineStr">
        <is>
          <t>SKÖVDE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46280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46280</v>
      </c>
      <c r="F174" t="inlineStr">
        <is>
          <t>VÄSTRA GÖTALANDS LÄN</t>
        </is>
      </c>
      <c r="G174" t="inlineStr">
        <is>
          <t>SKÖVDE</t>
        </is>
      </c>
      <c r="H174" t="inlineStr">
        <is>
          <t>Kommuner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45301</v>
      </c>
      <c r="E175" s="1" t="n">
        <v>46280</v>
      </c>
      <c r="F175" t="inlineStr">
        <is>
          <t>VÄSTRA GÖTALANDS LÄN</t>
        </is>
      </c>
      <c r="G175" t="inlineStr">
        <is>
          <t>SKÖVDE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46280</v>
      </c>
      <c r="F176" t="inlineStr">
        <is>
          <t>VÄSTRA GÖTALANDS LÄN</t>
        </is>
      </c>
      <c r="G176" t="inlineStr">
        <is>
          <t>SKÖVDE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46280</v>
      </c>
      <c r="F177" t="inlineStr">
        <is>
          <t>VÄSTRA GÖTALANDS LÄN</t>
        </is>
      </c>
      <c r="G177" t="inlineStr">
        <is>
          <t>SKÖVDE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46280</v>
      </c>
      <c r="F178" t="inlineStr">
        <is>
          <t>VÄSTRA GÖTALANDS LÄN</t>
        </is>
      </c>
      <c r="G178" t="inlineStr">
        <is>
          <t>SKÖVDE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46280</v>
      </c>
      <c r="F179" t="inlineStr">
        <is>
          <t>VÄSTRA GÖTALANDS LÄN</t>
        </is>
      </c>
      <c r="G179" t="inlineStr">
        <is>
          <t>SKÖVDE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46280</v>
      </c>
      <c r="F180" t="inlineStr">
        <is>
          <t>VÄSTRA GÖTALANDS LÄN</t>
        </is>
      </c>
      <c r="G180" t="inlineStr">
        <is>
          <t>SKÖVDE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46280</v>
      </c>
      <c r="F181" t="inlineStr">
        <is>
          <t>VÄSTRA GÖTALANDS LÄN</t>
        </is>
      </c>
      <c r="G181" t="inlineStr">
        <is>
          <t>SKÖVDE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46280</v>
      </c>
      <c r="F182" t="inlineStr">
        <is>
          <t>VÄSTRA GÖTALANDS LÄN</t>
        </is>
      </c>
      <c r="G182" t="inlineStr">
        <is>
          <t>SKÖVDE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45211</v>
      </c>
      <c r="E183" s="1" t="n">
        <v>46280</v>
      </c>
      <c r="F183" t="inlineStr">
        <is>
          <t>VÄSTRA GÖTALANDS LÄN</t>
        </is>
      </c>
      <c r="G183" t="inlineStr">
        <is>
          <t>SKÖVDE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44586</v>
      </c>
      <c r="E184" s="1" t="n">
        <v>46280</v>
      </c>
      <c r="F184" t="inlineStr">
        <is>
          <t>VÄSTRA GÖTALANDS LÄN</t>
        </is>
      </c>
      <c r="G184" t="inlineStr">
        <is>
          <t>SKÖVDE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35280-2024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45530</v>
      </c>
      <c r="E185" s="1" t="n">
        <v>46280</v>
      </c>
      <c r="F185" t="inlineStr">
        <is>
          <t>VÄSTRA GÖTALANDS LÄN</t>
        </is>
      </c>
      <c r="G185" t="inlineStr">
        <is>
          <t>SKÖVDE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45401</v>
      </c>
      <c r="E186" s="1" t="n">
        <v>46280</v>
      </c>
      <c r="F186" t="inlineStr">
        <is>
          <t>VÄSTRA GÖTALANDS LÄN</t>
        </is>
      </c>
      <c r="G186" t="inlineStr">
        <is>
          <t>SKÖVDE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44963</v>
      </c>
      <c r="E187" s="1" t="n">
        <v>46280</v>
      </c>
      <c r="F187" t="inlineStr">
        <is>
          <t>VÄSTRA GÖTALANDS LÄN</t>
        </is>
      </c>
      <c r="G187" t="inlineStr">
        <is>
          <t>SKÖVDE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46280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45138</v>
      </c>
      <c r="E189" s="1" t="n">
        <v>46280</v>
      </c>
      <c r="F189" t="inlineStr">
        <is>
          <t>VÄSTRA GÖTALANDS LÄN</t>
        </is>
      </c>
      <c r="G189" t="inlineStr">
        <is>
          <t>SKÖVDE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46280</v>
      </c>
      <c r="F190" t="inlineStr">
        <is>
          <t>VÄSTRA GÖTALANDS LÄN</t>
        </is>
      </c>
      <c r="G190" t="inlineStr">
        <is>
          <t>SKÖVDE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46280</v>
      </c>
      <c r="F191" t="inlineStr">
        <is>
          <t>VÄSTRA GÖTALANDS LÄN</t>
        </is>
      </c>
      <c r="G191" t="inlineStr">
        <is>
          <t>SKÖVDE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60117-2021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44495</v>
      </c>
      <c r="E192" s="1" t="n">
        <v>46280</v>
      </c>
      <c r="F192" t="inlineStr">
        <is>
          <t>VÄSTRA GÖTALANDS LÄN</t>
        </is>
      </c>
      <c r="G192" t="inlineStr">
        <is>
          <t>SKÖVDE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46280</v>
      </c>
      <c r="F193" t="inlineStr">
        <is>
          <t>VÄSTRA GÖTALANDS LÄN</t>
        </is>
      </c>
      <c r="G193" t="inlineStr">
        <is>
          <t>SKÖVDE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44739</v>
      </c>
      <c r="E194" s="1" t="n">
        <v>46280</v>
      </c>
      <c r="F194" t="inlineStr">
        <is>
          <t>VÄSTRA GÖTALANDS LÄN</t>
        </is>
      </c>
      <c r="G194" t="inlineStr">
        <is>
          <t>SKÖVDE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45560</v>
      </c>
      <c r="E195" s="1" t="n">
        <v>46280</v>
      </c>
      <c r="F195" t="inlineStr">
        <is>
          <t>VÄSTRA GÖTALANDS LÄN</t>
        </is>
      </c>
      <c r="G195" t="inlineStr">
        <is>
          <t>SKÖVDE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20190-2026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46280</v>
      </c>
      <c r="F196" t="inlineStr">
        <is>
          <t>VÄSTRA GÖTALANDS LÄN</t>
        </is>
      </c>
      <c r="G196" t="inlineStr">
        <is>
          <t>SKÖVDE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46280</v>
      </c>
      <c r="F197" t="inlineStr">
        <is>
          <t>VÄSTRA GÖTALANDS LÄN</t>
        </is>
      </c>
      <c r="G197" t="inlineStr">
        <is>
          <t>SKÖVDE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2901-2026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46038</v>
      </c>
      <c r="E198" s="1" t="n">
        <v>46280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46280</v>
      </c>
      <c r="F199" t="inlineStr">
        <is>
          <t>VÄSTRA GÖTALANDS LÄN</t>
        </is>
      </c>
      <c r="G199" t="inlineStr">
        <is>
          <t>SKÖVDE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46280</v>
      </c>
      <c r="F200" t="inlineStr">
        <is>
          <t>VÄSTRA GÖTALANDS LÄN</t>
        </is>
      </c>
      <c r="G200" t="inlineStr">
        <is>
          <t>SKÖVDE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46182</v>
      </c>
      <c r="E201" s="1" t="n">
        <v>46280</v>
      </c>
      <c r="F201" t="inlineStr">
        <is>
          <t>VÄSTRA GÖTALANDS LÄN</t>
        </is>
      </c>
      <c r="G201" t="inlineStr">
        <is>
          <t>SKÖVDE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26914-2026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46185</v>
      </c>
      <c r="E202" s="1" t="n">
        <v>46280</v>
      </c>
      <c r="F202" t="inlineStr">
        <is>
          <t>VÄSTRA GÖTALANDS LÄN</t>
        </is>
      </c>
      <c r="G202" t="inlineStr">
        <is>
          <t>SKÖVDE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45693</v>
      </c>
      <c r="E203" s="1" t="n">
        <v>46280</v>
      </c>
      <c r="F203" t="inlineStr">
        <is>
          <t>VÄSTRA GÖTALANDS LÄN</t>
        </is>
      </c>
      <c r="G203" t="inlineStr">
        <is>
          <t>SKÖVDE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46280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45531</v>
      </c>
      <c r="E205" s="1" t="n">
        <v>46280</v>
      </c>
      <c r="F205" t="inlineStr">
        <is>
          <t>VÄSTRA GÖTALANDS LÄN</t>
        </is>
      </c>
      <c r="G205" t="inlineStr">
        <is>
          <t>SKÖVDE</t>
        </is>
      </c>
      <c r="I205" t="n">
        <v>11.7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46280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46280</v>
      </c>
      <c r="F207" t="inlineStr">
        <is>
          <t>VÄSTRA GÖTALANDS LÄN</t>
        </is>
      </c>
      <c r="G207" t="inlineStr">
        <is>
          <t>SKÖVDE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46280</v>
      </c>
      <c r="F208" t="inlineStr">
        <is>
          <t>VÄSTRA GÖTALANDS LÄN</t>
        </is>
      </c>
      <c r="G208" t="inlineStr">
        <is>
          <t>SKÖVDE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46280</v>
      </c>
      <c r="F209" t="inlineStr">
        <is>
          <t>VÄSTRA GÖTALANDS LÄN</t>
        </is>
      </c>
      <c r="G209" t="inlineStr">
        <is>
          <t>SKÖVDE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46253</v>
      </c>
      <c r="E210" s="1" t="n">
        <v>46280</v>
      </c>
      <c r="F210" t="inlineStr">
        <is>
          <t>VÄSTRA GÖTALANDS LÄN</t>
        </is>
      </c>
      <c r="G210" t="inlineStr">
        <is>
          <t>SKÖVDE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45694</v>
      </c>
      <c r="E211" s="1" t="n">
        <v>46280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46129</v>
      </c>
      <c r="E212" s="1" t="n">
        <v>46280</v>
      </c>
      <c r="F212" t="inlineStr">
        <is>
          <t>VÄSTRA GÖTALANDS LÄN</t>
        </is>
      </c>
      <c r="G212" t="inlineStr">
        <is>
          <t>SKÖVDE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45315</v>
      </c>
      <c r="E213" s="1" t="n">
        <v>46280</v>
      </c>
      <c r="F213" t="inlineStr">
        <is>
          <t>VÄSTRA GÖTALANDS LÄN</t>
        </is>
      </c>
      <c r="G213" t="inlineStr">
        <is>
          <t>SKÖVDE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46269</v>
      </c>
      <c r="E214" s="1" t="n">
        <v>46280</v>
      </c>
      <c r="F214" t="inlineStr">
        <is>
          <t>VÄSTRA GÖTALANDS LÄN</t>
        </is>
      </c>
      <c r="G214" t="inlineStr">
        <is>
          <t>SKÖVDE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46272</v>
      </c>
      <c r="E215" s="1" t="n">
        <v>46280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45013</v>
      </c>
      <c r="E216" s="1" t="n">
        <v>46280</v>
      </c>
      <c r="F216" t="inlineStr">
        <is>
          <t>VÄSTRA GÖTALANDS LÄN</t>
        </is>
      </c>
      <c r="G216" t="inlineStr">
        <is>
          <t>SKÖVDE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45586</v>
      </c>
      <c r="E217" s="1" t="n">
        <v>46280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46280</v>
      </c>
      <c r="F218" t="inlineStr">
        <is>
          <t>VÄSTRA GÖTALANDS LÄN</t>
        </is>
      </c>
      <c r="G218" t="inlineStr">
        <is>
          <t>SKÖVDE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13669-2023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45006</v>
      </c>
      <c r="E219" s="1" t="n">
        <v>46280</v>
      </c>
      <c r="F219" t="inlineStr">
        <is>
          <t>VÄSTRA GÖTALANDS LÄN</t>
        </is>
      </c>
      <c r="G219" t="inlineStr">
        <is>
          <t>SKÖVDE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44796</v>
      </c>
      <c r="E220" s="1" t="n">
        <v>46280</v>
      </c>
      <c r="F220" t="inlineStr">
        <is>
          <t>VÄSTRA GÖTALANDS LÄN</t>
        </is>
      </c>
      <c r="G220" t="inlineStr">
        <is>
          <t>SKÖVDE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46280</v>
      </c>
      <c r="F221" t="inlineStr">
        <is>
          <t>VÄSTRA GÖTALANDS LÄN</t>
        </is>
      </c>
      <c r="G221" t="inlineStr">
        <is>
          <t>SKÖVDE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45742</v>
      </c>
      <c r="E222" s="1" t="n">
        <v>46280</v>
      </c>
      <c r="F222" t="inlineStr">
        <is>
          <t>VÄSTRA GÖTALANDS LÄN</t>
        </is>
      </c>
      <c r="G222" t="inlineStr">
        <is>
          <t>SKÖVDE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44599</v>
      </c>
      <c r="E223" s="1" t="n">
        <v>46280</v>
      </c>
      <c r="F223" t="inlineStr">
        <is>
          <t>VÄSTRA GÖTALANDS LÄN</t>
        </is>
      </c>
      <c r="G223" t="inlineStr">
        <is>
          <t>SKÖVDE</t>
        </is>
      </c>
      <c r="H223" t="inlineStr">
        <is>
          <t>Kyrkan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29217-2022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44750</v>
      </c>
      <c r="E224" s="1" t="n">
        <v>46280</v>
      </c>
      <c r="F224" t="inlineStr">
        <is>
          <t>VÄSTRA GÖTALANDS LÄN</t>
        </is>
      </c>
      <c r="G224" t="inlineStr">
        <is>
          <t>SKÖVDE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12162-2022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44636</v>
      </c>
      <c r="E225" s="1" t="n">
        <v>46280</v>
      </c>
      <c r="F225" t="inlineStr">
        <is>
          <t>VÄSTRA GÖTALANDS LÄN</t>
        </is>
      </c>
      <c r="G225" t="inlineStr">
        <is>
          <t>SKÖVDE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51886-2021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44462</v>
      </c>
      <c r="E226" s="1" t="n">
        <v>46280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45105</v>
      </c>
      <c r="E227" s="1" t="n">
        <v>46280</v>
      </c>
      <c r="F227" t="inlineStr">
        <is>
          <t>VÄSTRA GÖTALANDS LÄN</t>
        </is>
      </c>
      <c r="G227" t="inlineStr">
        <is>
          <t>SKÖVDE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45314</v>
      </c>
      <c r="E228" s="1" t="n">
        <v>46280</v>
      </c>
      <c r="F228" t="inlineStr">
        <is>
          <t>VÄSTRA GÖTALANDS LÄN</t>
        </is>
      </c>
      <c r="G228" t="inlineStr">
        <is>
          <t>SKÖVDE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45259</v>
      </c>
      <c r="E229" s="1" t="n">
        <v>46280</v>
      </c>
      <c r="F229" t="inlineStr">
        <is>
          <t>VÄSTRA GÖTALANDS LÄN</t>
        </is>
      </c>
      <c r="G229" t="inlineStr">
        <is>
          <t>SKÖVDE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46280</v>
      </c>
      <c r="F230" t="inlineStr">
        <is>
          <t>VÄSTRA GÖTALANDS LÄN</t>
        </is>
      </c>
      <c r="G230" t="inlineStr">
        <is>
          <t>SKÖVDE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40205-2022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46280</v>
      </c>
      <c r="F231" t="inlineStr">
        <is>
          <t>VÄSTRA GÖTALANDS LÄN</t>
        </is>
      </c>
      <c r="G231" t="inlineStr">
        <is>
          <t>SKÖVDE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45299</v>
      </c>
      <c r="E232" s="1" t="n">
        <v>46280</v>
      </c>
      <c r="F232" t="inlineStr">
        <is>
          <t>VÄSTRA GÖTALANDS LÄN</t>
        </is>
      </c>
      <c r="G232" t="inlineStr">
        <is>
          <t>SKÖVDE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45169</v>
      </c>
      <c r="E233" s="1" t="n">
        <v>46280</v>
      </c>
      <c r="F233" t="inlineStr">
        <is>
          <t>VÄSTRA GÖTALANDS LÄN</t>
        </is>
      </c>
      <c r="G233" t="inlineStr">
        <is>
          <t>SKÖVDE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46280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48225-2024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45590</v>
      </c>
      <c r="E235" s="1" t="n">
        <v>46280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46280</v>
      </c>
      <c r="F236" t="inlineStr">
        <is>
          <t>VÄSTRA GÖTALANDS LÄN</t>
        </is>
      </c>
      <c r="G236" t="inlineStr">
        <is>
          <t>SKÖVDE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45082</v>
      </c>
      <c r="E237" s="1" t="n">
        <v>46280</v>
      </c>
      <c r="F237" t="inlineStr">
        <is>
          <t>VÄSTRA GÖTALANDS LÄN</t>
        </is>
      </c>
      <c r="G237" t="inlineStr">
        <is>
          <t>SKÖVDE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45687</v>
      </c>
      <c r="E238" s="1" t="n">
        <v>46280</v>
      </c>
      <c r="F238" t="inlineStr">
        <is>
          <t>VÄSTRA GÖTALANDS LÄN</t>
        </is>
      </c>
      <c r="G238" t="inlineStr">
        <is>
          <t>SKÖVDE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45138</v>
      </c>
      <c r="E239" s="1" t="n">
        <v>46280</v>
      </c>
      <c r="F239" t="inlineStr">
        <is>
          <t>VÄSTRA GÖTALANDS LÄN</t>
        </is>
      </c>
      <c r="G239" t="inlineStr">
        <is>
          <t>SKÖVDE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45134</v>
      </c>
      <c r="E240" s="1" t="n">
        <v>46280</v>
      </c>
      <c r="F240" t="inlineStr">
        <is>
          <t>VÄSTRA GÖTALANDS LÄN</t>
        </is>
      </c>
      <c r="G240" t="inlineStr">
        <is>
          <t>SKÖVDE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46280</v>
      </c>
      <c r="F241" t="inlineStr">
        <is>
          <t>VÄSTRA GÖTALANDS LÄN</t>
        </is>
      </c>
      <c r="G241" t="inlineStr">
        <is>
          <t>SKÖVDE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17798-2024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45418</v>
      </c>
      <c r="E242" s="1" t="n">
        <v>46280</v>
      </c>
      <c r="F242" t="inlineStr">
        <is>
          <t>VÄSTRA GÖTALANDS LÄN</t>
        </is>
      </c>
      <c r="G242" t="inlineStr">
        <is>
          <t>SKÖVDE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45301</v>
      </c>
      <c r="E243" s="1" t="n">
        <v>46280</v>
      </c>
      <c r="F243" t="inlineStr">
        <is>
          <t>VÄSTRA GÖTALANDS LÄN</t>
        </is>
      </c>
      <c r="G243" t="inlineStr">
        <is>
          <t>SKÖVDE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38048-2022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44811</v>
      </c>
      <c r="E244" s="1" t="n">
        <v>46280</v>
      </c>
      <c r="F244" t="inlineStr">
        <is>
          <t>VÄSTRA GÖTALANDS LÄN</t>
        </is>
      </c>
      <c r="G244" t="inlineStr">
        <is>
          <t>SKÖVDE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46280</v>
      </c>
      <c r="F245" t="inlineStr">
        <is>
          <t>VÄSTRA GÖTALANDS LÄN</t>
        </is>
      </c>
      <c r="G245" t="inlineStr">
        <is>
          <t>SKÖVDE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46280</v>
      </c>
      <c r="F246" t="inlineStr">
        <is>
          <t>VÄSTRA GÖTALANDS LÄN</t>
        </is>
      </c>
      <c r="G246" t="inlineStr">
        <is>
          <t>SKÖVDE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45002</v>
      </c>
      <c r="E247" s="1" t="n">
        <v>46280</v>
      </c>
      <c r="F247" t="inlineStr">
        <is>
          <t>VÄSTRA GÖTALANDS LÄN</t>
        </is>
      </c>
      <c r="G247" t="inlineStr">
        <is>
          <t>SKÖVDE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7870-2025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46280</v>
      </c>
      <c r="F248" t="inlineStr">
        <is>
          <t>VÄSTRA GÖTALANDS LÄN</t>
        </is>
      </c>
      <c r="G248" t="inlineStr">
        <is>
          <t>SKÖVDE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44825</v>
      </c>
      <c r="E249" s="1" t="n">
        <v>46280</v>
      </c>
      <c r="F249" t="inlineStr">
        <is>
          <t>VÄSTRA GÖTALANDS LÄN</t>
        </is>
      </c>
      <c r="G249" t="inlineStr">
        <is>
          <t>SKÖVDE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46280</v>
      </c>
      <c r="F250" t="inlineStr">
        <is>
          <t>VÄSTRA GÖTALANDS LÄN</t>
        </is>
      </c>
      <c r="G250" t="inlineStr">
        <is>
          <t>SKÖVDE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44804</v>
      </c>
      <c r="E251" s="1" t="n">
        <v>46280</v>
      </c>
      <c r="F251" t="inlineStr">
        <is>
          <t>VÄSTRA GÖTALANDS LÄN</t>
        </is>
      </c>
      <c r="G251" t="inlineStr">
        <is>
          <t>SKÖVDE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46280</v>
      </c>
      <c r="F252" t="inlineStr">
        <is>
          <t>VÄSTRA GÖTALANDS LÄN</t>
        </is>
      </c>
      <c r="G252" t="inlineStr">
        <is>
          <t>SKÖVDE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45306</v>
      </c>
      <c r="E253" s="1" t="n">
        <v>46280</v>
      </c>
      <c r="F253" t="inlineStr">
        <is>
          <t>VÄSTRA GÖTALANDS LÄN</t>
        </is>
      </c>
      <c r="G253" t="inlineStr">
        <is>
          <t>SKÖVDE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45721</v>
      </c>
      <c r="E254" s="1" t="n">
        <v>46280</v>
      </c>
      <c r="F254" t="inlineStr">
        <is>
          <t>VÄSTRA GÖTALANDS LÄN</t>
        </is>
      </c>
      <c r="G254" t="inlineStr">
        <is>
          <t>SKÖVDE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45315</v>
      </c>
      <c r="E255" s="1" t="n">
        <v>46280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46280</v>
      </c>
      <c r="F256" t="inlineStr">
        <is>
          <t>VÄSTRA GÖTALANDS LÄN</t>
        </is>
      </c>
      <c r="G256" t="inlineStr">
        <is>
          <t>SKÖVDE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46280</v>
      </c>
      <c r="F257" t="inlineStr">
        <is>
          <t>VÄSTRA GÖTALANDS LÄN</t>
        </is>
      </c>
      <c r="G257" t="inlineStr">
        <is>
          <t>SKÖVDE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46280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46280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46280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46280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2026-09-15T08:16:39Z</dcterms:created>
  <dcterms:modified xmlns:dcterms="http://purl.org/dc/terms/" xmlns:xsi="http://www.w3.org/2001/XMLSchema-instance" xsi:type="dcterms:W3CDTF">2026-09-15T08:16:39Z</dcterms:modified>
</cp:coreProperties>
</file>