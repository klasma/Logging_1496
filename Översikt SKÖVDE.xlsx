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45733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45733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45733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45733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45733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45733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45733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45733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45733</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45733</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45733</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45733</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45733</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45733</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45733</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45733</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45733</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45733</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45733</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45733</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45733</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45733</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45733</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45733</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45733</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45733</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45733</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45733</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7276-2025</t>
        </is>
      </c>
      <c r="B30" s="1" t="n">
        <v>45702</v>
      </c>
      <c r="C30" s="1" t="n">
        <v>45733</v>
      </c>
      <c r="D30" t="inlineStr">
        <is>
          <t>VÄSTRA GÖTALANDS LÄN</t>
        </is>
      </c>
      <c r="E30" t="inlineStr">
        <is>
          <t>SKÖVDE</t>
        </is>
      </c>
      <c r="G30" t="n">
        <v>0.6</v>
      </c>
      <c r="H30" t="n">
        <v>0</v>
      </c>
      <c r="I30" t="n">
        <v>0</v>
      </c>
      <c r="J30" t="n">
        <v>0</v>
      </c>
      <c r="K30" t="n">
        <v>2</v>
      </c>
      <c r="L30" t="n">
        <v>0</v>
      </c>
      <c r="M30" t="n">
        <v>0</v>
      </c>
      <c r="N30" t="n">
        <v>0</v>
      </c>
      <c r="O30" t="n">
        <v>2</v>
      </c>
      <c r="P30" t="n">
        <v>2</v>
      </c>
      <c r="Q30" t="n">
        <v>2</v>
      </c>
      <c r="R30" s="2" t="inlineStr">
        <is>
          <t>Bitter taggsvamp
Mjölfibbla</t>
        </is>
      </c>
      <c r="S30">
        <f>HYPERLINK("https://klasma.github.io/Logging_1496/artfynd/A 7276-2025 artfynd.xlsx", "A 7276-2025")</f>
        <v/>
      </c>
      <c r="T30">
        <f>HYPERLINK("https://klasma.github.io/Logging_1496/kartor/A 7276-2025 karta.png", "A 7276-2025")</f>
        <v/>
      </c>
      <c r="V30">
        <f>HYPERLINK("https://klasma.github.io/Logging_1496/klagomål/A 7276-2025 FSC-klagomål.docx", "A 7276-2025")</f>
        <v/>
      </c>
      <c r="W30">
        <f>HYPERLINK("https://klasma.github.io/Logging_1496/klagomålsmail/A 7276-2025 FSC-klagomål mail.docx", "A 7276-2025")</f>
        <v/>
      </c>
      <c r="X30">
        <f>HYPERLINK("https://klasma.github.io/Logging_1496/tillsyn/A 7276-2025 tillsynsbegäran.docx", "A 7276-2025")</f>
        <v/>
      </c>
      <c r="Y30">
        <f>HYPERLINK("https://klasma.github.io/Logging_1496/tillsynsmail/A 7276-2025 tillsynsbegäran mail.docx", "A 7276-2025")</f>
        <v/>
      </c>
    </row>
    <row r="31" ht="15" customHeight="1">
      <c r="A31" t="inlineStr">
        <is>
          <t>A 60099-2019</t>
        </is>
      </c>
      <c r="B31" s="1" t="n">
        <v>43777</v>
      </c>
      <c r="C31" s="1" t="n">
        <v>45733</v>
      </c>
      <c r="D31" t="inlineStr">
        <is>
          <t>VÄSTRA GÖTALANDS LÄN</t>
        </is>
      </c>
      <c r="E31" t="inlineStr">
        <is>
          <t>SKÖVDE</t>
        </is>
      </c>
      <c r="F31" t="inlineStr">
        <is>
          <t>Övriga statliga verk och myndigheter</t>
        </is>
      </c>
      <c r="G31" t="n">
        <v>5.6</v>
      </c>
      <c r="H31" t="n">
        <v>0</v>
      </c>
      <c r="I31" t="n">
        <v>0</v>
      </c>
      <c r="J31" t="n">
        <v>1</v>
      </c>
      <c r="K31" t="n">
        <v>0</v>
      </c>
      <c r="L31" t="n">
        <v>0</v>
      </c>
      <c r="M31" t="n">
        <v>0</v>
      </c>
      <c r="N31" t="n">
        <v>0</v>
      </c>
      <c r="O31" t="n">
        <v>1</v>
      </c>
      <c r="P31" t="n">
        <v>0</v>
      </c>
      <c r="Q31" t="n">
        <v>1</v>
      </c>
      <c r="R31" s="2" t="inlineStr">
        <is>
          <t>Gropticka</t>
        </is>
      </c>
      <c r="S31">
        <f>HYPERLINK("https://klasma.github.io/Logging_1496/artfynd/A 60099-2019 artfynd.xlsx", "A 60099-2019")</f>
        <v/>
      </c>
      <c r="T31">
        <f>HYPERLINK("https://klasma.github.io/Logging_1496/kartor/A 60099-2019 karta.png", "A 60099-2019")</f>
        <v/>
      </c>
      <c r="V31">
        <f>HYPERLINK("https://klasma.github.io/Logging_1496/klagomål/A 60099-2019 FSC-klagomål.docx", "A 60099-2019")</f>
        <v/>
      </c>
      <c r="W31">
        <f>HYPERLINK("https://klasma.github.io/Logging_1496/klagomålsmail/A 60099-2019 FSC-klagomål mail.docx", "A 60099-2019")</f>
        <v/>
      </c>
      <c r="X31">
        <f>HYPERLINK("https://klasma.github.io/Logging_1496/tillsyn/A 60099-2019 tillsynsbegäran.docx", "A 60099-2019")</f>
        <v/>
      </c>
      <c r="Y31">
        <f>HYPERLINK("https://klasma.github.io/Logging_1496/tillsynsmail/A 60099-2019 tillsynsbegäran mail.docx", "A 60099-2019")</f>
        <v/>
      </c>
    </row>
    <row r="32" ht="15" customHeight="1">
      <c r="A32" t="inlineStr">
        <is>
          <t>A 37216-2020</t>
        </is>
      </c>
      <c r="B32" s="1" t="n">
        <v>44054</v>
      </c>
      <c r="C32" s="1" t="n">
        <v>45733</v>
      </c>
      <c r="D32" t="inlineStr">
        <is>
          <t>VÄSTRA GÖTALANDS LÄN</t>
        </is>
      </c>
      <c r="E32" t="inlineStr">
        <is>
          <t>SKÖVDE</t>
        </is>
      </c>
      <c r="G32" t="n">
        <v>1.3</v>
      </c>
      <c r="H32" t="n">
        <v>1</v>
      </c>
      <c r="I32" t="n">
        <v>0</v>
      </c>
      <c r="J32" t="n">
        <v>0</v>
      </c>
      <c r="K32" t="n">
        <v>0</v>
      </c>
      <c r="L32" t="n">
        <v>0</v>
      </c>
      <c r="M32" t="n">
        <v>0</v>
      </c>
      <c r="N32" t="n">
        <v>0</v>
      </c>
      <c r="O32" t="n">
        <v>0</v>
      </c>
      <c r="P32" t="n">
        <v>0</v>
      </c>
      <c r="Q32" t="n">
        <v>1</v>
      </c>
      <c r="R32" s="2" t="inlineStr">
        <is>
          <t>Revlummer</t>
        </is>
      </c>
      <c r="S32">
        <f>HYPERLINK("https://klasma.github.io/Logging_1496/artfynd/A 37216-2020 artfynd.xlsx", "A 37216-2020")</f>
        <v/>
      </c>
      <c r="T32">
        <f>HYPERLINK("https://klasma.github.io/Logging_1496/kartor/A 37216-2020 karta.png", "A 37216-2020")</f>
        <v/>
      </c>
      <c r="V32">
        <f>HYPERLINK("https://klasma.github.io/Logging_1496/klagomål/A 37216-2020 FSC-klagomål.docx", "A 37216-2020")</f>
        <v/>
      </c>
      <c r="W32">
        <f>HYPERLINK("https://klasma.github.io/Logging_1496/klagomålsmail/A 37216-2020 FSC-klagomål mail.docx", "A 37216-2020")</f>
        <v/>
      </c>
      <c r="X32">
        <f>HYPERLINK("https://klasma.github.io/Logging_1496/tillsyn/A 37216-2020 tillsynsbegäran.docx", "A 37216-2020")</f>
        <v/>
      </c>
      <c r="Y32">
        <f>HYPERLINK("https://klasma.github.io/Logging_1496/tillsynsmail/A 37216-2020 tillsynsbegäran mail.docx", "A 37216-2020")</f>
        <v/>
      </c>
    </row>
    <row r="33" ht="15" customHeight="1">
      <c r="A33" t="inlineStr">
        <is>
          <t>A 6484-2021</t>
        </is>
      </c>
      <c r="B33" s="1" t="n">
        <v>44235</v>
      </c>
      <c r="C33" s="1" t="n">
        <v>45733</v>
      </c>
      <c r="D33" t="inlineStr">
        <is>
          <t>VÄSTRA GÖTALANDS LÄN</t>
        </is>
      </c>
      <c r="E33" t="inlineStr">
        <is>
          <t>SKÖVDE</t>
        </is>
      </c>
      <c r="G33" t="n">
        <v>2.9</v>
      </c>
      <c r="H33" t="n">
        <v>0</v>
      </c>
      <c r="I33" t="n">
        <v>1</v>
      </c>
      <c r="J33" t="n">
        <v>0</v>
      </c>
      <c r="K33" t="n">
        <v>0</v>
      </c>
      <c r="L33" t="n">
        <v>0</v>
      </c>
      <c r="M33" t="n">
        <v>0</v>
      </c>
      <c r="N33" t="n">
        <v>0</v>
      </c>
      <c r="O33" t="n">
        <v>0</v>
      </c>
      <c r="P33" t="n">
        <v>0</v>
      </c>
      <c r="Q33" t="n">
        <v>1</v>
      </c>
      <c r="R33" s="2" t="inlineStr">
        <is>
          <t>Tibast</t>
        </is>
      </c>
      <c r="S33">
        <f>HYPERLINK("https://klasma.github.io/Logging_1496/artfynd/A 6484-2021 artfynd.xlsx", "A 6484-2021")</f>
        <v/>
      </c>
      <c r="T33">
        <f>HYPERLINK("https://klasma.github.io/Logging_1496/kartor/A 6484-2021 karta.png", "A 6484-2021")</f>
        <v/>
      </c>
      <c r="V33">
        <f>HYPERLINK("https://klasma.github.io/Logging_1496/klagomål/A 6484-2021 FSC-klagomål.docx", "A 6484-2021")</f>
        <v/>
      </c>
      <c r="W33">
        <f>HYPERLINK("https://klasma.github.io/Logging_1496/klagomålsmail/A 6484-2021 FSC-klagomål mail.docx", "A 6484-2021")</f>
        <v/>
      </c>
      <c r="X33">
        <f>HYPERLINK("https://klasma.github.io/Logging_1496/tillsyn/A 6484-2021 tillsynsbegäran.docx", "A 6484-2021")</f>
        <v/>
      </c>
      <c r="Y33">
        <f>HYPERLINK("https://klasma.github.io/Logging_1496/tillsynsmail/A 6484-2021 tillsynsbegäran mail.docx", "A 6484-2021")</f>
        <v/>
      </c>
    </row>
    <row r="34" ht="15" customHeight="1">
      <c r="A34" t="inlineStr">
        <is>
          <t>A 60172-2021</t>
        </is>
      </c>
      <c r="B34" s="1" t="n">
        <v>44495</v>
      </c>
      <c r="C34" s="1" t="n">
        <v>45733</v>
      </c>
      <c r="D34" t="inlineStr">
        <is>
          <t>VÄSTRA GÖTALANDS LÄN</t>
        </is>
      </c>
      <c r="E34" t="inlineStr">
        <is>
          <t>SKÖVDE</t>
        </is>
      </c>
      <c r="G34" t="n">
        <v>1.4</v>
      </c>
      <c r="H34" t="n">
        <v>1</v>
      </c>
      <c r="I34" t="n">
        <v>0</v>
      </c>
      <c r="J34" t="n">
        <v>0</v>
      </c>
      <c r="K34" t="n">
        <v>0</v>
      </c>
      <c r="L34" t="n">
        <v>0</v>
      </c>
      <c r="M34" t="n">
        <v>0</v>
      </c>
      <c r="N34" t="n">
        <v>0</v>
      </c>
      <c r="O34" t="n">
        <v>0</v>
      </c>
      <c r="P34" t="n">
        <v>0</v>
      </c>
      <c r="Q34" t="n">
        <v>1</v>
      </c>
      <c r="R34" s="2" t="inlineStr">
        <is>
          <t>Fläcknycklar</t>
        </is>
      </c>
      <c r="S34">
        <f>HYPERLINK("https://klasma.github.io/Logging_1496/artfynd/A 60172-2021 artfynd.xlsx", "A 60172-2021")</f>
        <v/>
      </c>
      <c r="T34">
        <f>HYPERLINK("https://klasma.github.io/Logging_1496/kartor/A 60172-2021 karta.png", "A 60172-2021")</f>
        <v/>
      </c>
      <c r="V34">
        <f>HYPERLINK("https://klasma.github.io/Logging_1496/klagomål/A 60172-2021 FSC-klagomål.docx", "A 60172-2021")</f>
        <v/>
      </c>
      <c r="W34">
        <f>HYPERLINK("https://klasma.github.io/Logging_1496/klagomålsmail/A 60172-2021 FSC-klagomål mail.docx", "A 60172-2021")</f>
        <v/>
      </c>
      <c r="X34">
        <f>HYPERLINK("https://klasma.github.io/Logging_1496/tillsyn/A 60172-2021 tillsynsbegäran.docx", "A 60172-2021")</f>
        <v/>
      </c>
      <c r="Y34">
        <f>HYPERLINK("https://klasma.github.io/Logging_1496/tillsynsmail/A 60172-2021 tillsynsbegäran mail.docx", "A 60172-2021")</f>
        <v/>
      </c>
    </row>
    <row r="35" ht="15" customHeight="1">
      <c r="A35" t="inlineStr">
        <is>
          <t>A 39092-2022</t>
        </is>
      </c>
      <c r="B35" s="1" t="n">
        <v>44817</v>
      </c>
      <c r="C35" s="1" t="n">
        <v>45733</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45733</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45733</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45733</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45733</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45733</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45733</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45733</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45733</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45733</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45733</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45733</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23092-2024</t>
        </is>
      </c>
      <c r="B47" s="1" t="n">
        <v>45450</v>
      </c>
      <c r="C47" s="1" t="n">
        <v>45733</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32422-2024</t>
        </is>
      </c>
      <c r="B48" s="1" t="n">
        <v>45512</v>
      </c>
      <c r="C48" s="1" t="n">
        <v>45733</v>
      </c>
      <c r="D48" t="inlineStr">
        <is>
          <t>VÄSTRA GÖTALANDS LÄN</t>
        </is>
      </c>
      <c r="E48" t="inlineStr">
        <is>
          <t>SKÖVDE</t>
        </is>
      </c>
      <c r="G48" t="n">
        <v>3</v>
      </c>
      <c r="H48" t="n">
        <v>0</v>
      </c>
      <c r="I48" t="n">
        <v>0</v>
      </c>
      <c r="J48" t="n">
        <v>1</v>
      </c>
      <c r="K48" t="n">
        <v>0</v>
      </c>
      <c r="L48" t="n">
        <v>0</v>
      </c>
      <c r="M48" t="n">
        <v>0</v>
      </c>
      <c r="N48" t="n">
        <v>0</v>
      </c>
      <c r="O48" t="n">
        <v>1</v>
      </c>
      <c r="P48" t="n">
        <v>0</v>
      </c>
      <c r="Q48" t="n">
        <v>1</v>
      </c>
      <c r="R48" s="2" t="inlineStr">
        <is>
          <t>Slåtterfibbla</t>
        </is>
      </c>
      <c r="S48">
        <f>HYPERLINK("https://klasma.github.io/Logging_1496/artfynd/A 32422-2024 artfynd.xlsx", "A 32422-2024")</f>
        <v/>
      </c>
      <c r="T48">
        <f>HYPERLINK("https://klasma.github.io/Logging_1496/kartor/A 32422-2024 karta.png", "A 32422-2024")</f>
        <v/>
      </c>
      <c r="V48">
        <f>HYPERLINK("https://klasma.github.io/Logging_1496/klagomål/A 32422-2024 FSC-klagomål.docx", "A 32422-2024")</f>
        <v/>
      </c>
      <c r="W48">
        <f>HYPERLINK("https://klasma.github.io/Logging_1496/klagomålsmail/A 32422-2024 FSC-klagomål mail.docx", "A 32422-2024")</f>
        <v/>
      </c>
      <c r="X48">
        <f>HYPERLINK("https://klasma.github.io/Logging_1496/tillsyn/A 32422-2024 tillsynsbegäran.docx", "A 32422-2024")</f>
        <v/>
      </c>
      <c r="Y48">
        <f>HYPERLINK("https://klasma.github.io/Logging_1496/tillsynsmail/A 32422-2024 tillsynsbegäran mail.docx", "A 32422-2024")</f>
        <v/>
      </c>
    </row>
    <row r="49" ht="15" customHeight="1">
      <c r="A49" t="inlineStr">
        <is>
          <t>A 58467-2024</t>
        </is>
      </c>
      <c r="B49" s="1" t="n">
        <v>45635</v>
      </c>
      <c r="C49" s="1" t="n">
        <v>45733</v>
      </c>
      <c r="D49" t="inlineStr">
        <is>
          <t>VÄSTRA GÖTALANDS LÄN</t>
        </is>
      </c>
      <c r="E49" t="inlineStr">
        <is>
          <t>SKÖVDE</t>
        </is>
      </c>
      <c r="G49" t="n">
        <v>1</v>
      </c>
      <c r="H49" t="n">
        <v>0</v>
      </c>
      <c r="I49" t="n">
        <v>0</v>
      </c>
      <c r="J49" t="n">
        <v>1</v>
      </c>
      <c r="K49" t="n">
        <v>0</v>
      </c>
      <c r="L49" t="n">
        <v>0</v>
      </c>
      <c r="M49" t="n">
        <v>0</v>
      </c>
      <c r="N49" t="n">
        <v>0</v>
      </c>
      <c r="O49" t="n">
        <v>1</v>
      </c>
      <c r="P49" t="n">
        <v>0</v>
      </c>
      <c r="Q49" t="n">
        <v>1</v>
      </c>
      <c r="R49" s="2" t="inlineStr">
        <is>
          <t>Sommarfibbla</t>
        </is>
      </c>
      <c r="S49">
        <f>HYPERLINK("https://klasma.github.io/Logging_1496/artfynd/A 58467-2024 artfynd.xlsx", "A 58467-2024")</f>
        <v/>
      </c>
      <c r="T49">
        <f>HYPERLINK("https://klasma.github.io/Logging_1496/kartor/A 58467-2024 karta.png", "A 58467-2024")</f>
        <v/>
      </c>
      <c r="V49">
        <f>HYPERLINK("https://klasma.github.io/Logging_1496/klagomål/A 58467-2024 FSC-klagomål.docx", "A 58467-2024")</f>
        <v/>
      </c>
      <c r="W49">
        <f>HYPERLINK("https://klasma.github.io/Logging_1496/klagomålsmail/A 58467-2024 FSC-klagomål mail.docx", "A 58467-2024")</f>
        <v/>
      </c>
      <c r="X49">
        <f>HYPERLINK("https://klasma.github.io/Logging_1496/tillsyn/A 58467-2024 tillsynsbegäran.docx", "A 58467-2024")</f>
        <v/>
      </c>
      <c r="Y49">
        <f>HYPERLINK("https://klasma.github.io/Logging_1496/tillsynsmail/A 58467-2024 tillsynsbegäran mail.docx", "A 58467-2024")</f>
        <v/>
      </c>
    </row>
    <row r="50" ht="15" customHeight="1">
      <c r="A50" t="inlineStr">
        <is>
          <t>A 17841-2019</t>
        </is>
      </c>
      <c r="B50" s="1" t="n">
        <v>43556</v>
      </c>
      <c r="C50" s="1" t="n">
        <v>45733</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45733</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45733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45733</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45733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45733</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45733</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45733</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45733</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45733</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45733</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45733</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45733</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45733</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45733</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45733</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45733</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45733</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45733</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45733</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45733</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45733</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45733</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45733</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45733</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45733</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45733</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45733</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45733</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45733</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45733</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45733</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45733</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45733</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45733</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45733</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45733</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45733</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45733</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45733</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45733</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45733</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45733</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45733</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45733</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45733</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45733</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45733</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45733</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45733</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45733</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45733</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45733</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45733</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45733</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45733</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45733</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45733</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45733</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45733</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45733</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45733</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45733</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45733</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45733</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45733</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45733</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45733</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45733</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45733</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45733</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45733</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45733</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45733</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45733</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45733</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45733</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45733</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45733</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45733</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45733</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45733</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45733</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45733</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45733</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45733</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45733</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45733</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45733</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45733</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45733</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45733</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45733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45733</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45733</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45733</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45733</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45733</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45733</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45733</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45733</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45733</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45733</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45733</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45733</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45733</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45733</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45733</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45733</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45733</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45733</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45733</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45733</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45733</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45733</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45733</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45733</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45733</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45733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45733</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45733</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45733</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45733</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45733</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45733</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45733</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45733</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45733</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45733</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45733</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45733</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45733</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45733</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45733</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45733</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45733</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45733</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45733</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45733</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45733</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45733</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45733</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45733</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45733</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45733</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45733</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45733</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45733</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45733</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45733</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45733</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45733</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45733</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45733</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45733</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45733</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45733</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45733</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45733</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45733</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45733</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45733</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45733</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45733</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45733</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45733</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45733</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45733</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45733</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45733</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45733</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45733</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45733</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45733</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45733</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45733</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14487-2022</t>
        </is>
      </c>
      <c r="B226" s="1" t="n">
        <v>44652</v>
      </c>
      <c r="C226" s="1" t="n">
        <v>45733</v>
      </c>
      <c r="D226" t="inlineStr">
        <is>
          <t>VÄSTRA GÖTALANDS LÄN</t>
        </is>
      </c>
      <c r="E226" t="inlineStr">
        <is>
          <t>SKÖVDE</t>
        </is>
      </c>
      <c r="G226" t="n">
        <v>2.6</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45733</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45733</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45733</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45733</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45733</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45733</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45733</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45733</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45733</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45733</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45733</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45733</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45733</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45733</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45733</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45733</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45733</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45733</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45733</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45733</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45733</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45733</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45733</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45733</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45733</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45733</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45733</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45733</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45733</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45733</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45733</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45733</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45733</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45733</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45733</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45733</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45733</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45733</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45733</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45733</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45733</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45733</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45733</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45733</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45733</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45733</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45733</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45733</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45733</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45733</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45733</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45733</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45733</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45733</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45733</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45733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45733</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45733</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45733</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45733</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45733</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45733</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45733</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45733</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45733</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45733</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45733</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45733</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45733</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45733</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45733</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45733</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45733</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45733</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45733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45733</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45733</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45733</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45733</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45733</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45733</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45733</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45733</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45733</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45733</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45733</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45733</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45733</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45733</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45733</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45733</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45733</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45733</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45733</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45733</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45733</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45733</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45733</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45733</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45733</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45733</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45733</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45733</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45733</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45733</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45733</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45733</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45733</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45733</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45733</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45733</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45733</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45733</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45733</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45733</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45733</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45733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45733</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45733</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45733</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45733</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45733</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45733</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45733</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45733</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45733</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45733</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45733</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45733</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45733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45733</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45733</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45733</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45733</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45733</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45733</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45733</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45733</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45733</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45733</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45733</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45733</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45733</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45733</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45733</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45733</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45733</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45733</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45733</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45733</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45733</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45733</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45733</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45733</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45733</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45733</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45733</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45733</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45733</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45733</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45733</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45733</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45733</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45733</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45733</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45733</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45733</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45733</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45733</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45733</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45733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23080-2024</t>
        </is>
      </c>
      <c r="B398" s="1" t="n">
        <v>45450</v>
      </c>
      <c r="C398" s="1" t="n">
        <v>45733</v>
      </c>
      <c r="D398" t="inlineStr">
        <is>
          <t>VÄSTRA GÖTALANDS LÄN</t>
        </is>
      </c>
      <c r="E398" t="inlineStr">
        <is>
          <t>SKÖVDE</t>
        </is>
      </c>
      <c r="G398" t="n">
        <v>2.6</v>
      </c>
      <c r="H398" t="n">
        <v>0</v>
      </c>
      <c r="I398" t="n">
        <v>0</v>
      </c>
      <c r="J398" t="n">
        <v>0</v>
      </c>
      <c r="K398" t="n">
        <v>0</v>
      </c>
      <c r="L398" t="n">
        <v>0</v>
      </c>
      <c r="M398" t="n">
        <v>0</v>
      </c>
      <c r="N398" t="n">
        <v>0</v>
      </c>
      <c r="O398" t="n">
        <v>0</v>
      </c>
      <c r="P398" t="n">
        <v>0</v>
      </c>
      <c r="Q398" t="n">
        <v>0</v>
      </c>
      <c r="R398" s="2" t="inlineStr"/>
    </row>
    <row r="399" ht="15" customHeight="1">
      <c r="A399" t="inlineStr">
        <is>
          <t>A 25051-2024</t>
        </is>
      </c>
      <c r="B399" s="1" t="n">
        <v>45462</v>
      </c>
      <c r="C399" s="1" t="n">
        <v>45733</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26457-2024</t>
        </is>
      </c>
      <c r="B400" s="1" t="n">
        <v>45469</v>
      </c>
      <c r="C400" s="1" t="n">
        <v>45733</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27109-2024</t>
        </is>
      </c>
      <c r="B401" s="1" t="n">
        <v>45471</v>
      </c>
      <c r="C401" s="1" t="n">
        <v>45733</v>
      </c>
      <c r="D401" t="inlineStr">
        <is>
          <t>VÄSTRA GÖTALANDS LÄN</t>
        </is>
      </c>
      <c r="E401" t="inlineStr">
        <is>
          <t>SKÖVDE</t>
        </is>
      </c>
      <c r="G401" t="n">
        <v>2.7</v>
      </c>
      <c r="H401" t="n">
        <v>0</v>
      </c>
      <c r="I401" t="n">
        <v>0</v>
      </c>
      <c r="J401" t="n">
        <v>0</v>
      </c>
      <c r="K401" t="n">
        <v>0</v>
      </c>
      <c r="L401" t="n">
        <v>0</v>
      </c>
      <c r="M401" t="n">
        <v>0</v>
      </c>
      <c r="N401" t="n">
        <v>0</v>
      </c>
      <c r="O401" t="n">
        <v>0</v>
      </c>
      <c r="P401" t="n">
        <v>0</v>
      </c>
      <c r="Q401" t="n">
        <v>0</v>
      </c>
      <c r="R401" s="2" t="inlineStr"/>
    </row>
    <row r="402" ht="15" customHeight="1">
      <c r="A402" t="inlineStr">
        <is>
          <t>A 27806-2024</t>
        </is>
      </c>
      <c r="B402" s="1" t="n">
        <v>45475</v>
      </c>
      <c r="C402" s="1" t="n">
        <v>45733</v>
      </c>
      <c r="D402" t="inlineStr">
        <is>
          <t>VÄSTRA GÖTALANDS LÄN</t>
        </is>
      </c>
      <c r="E402" t="inlineStr">
        <is>
          <t>SKÖVDE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31994-2024</t>
        </is>
      </c>
      <c r="B403" s="1" t="n">
        <v>45510</v>
      </c>
      <c r="C403" s="1" t="n">
        <v>45733</v>
      </c>
      <c r="D403" t="inlineStr">
        <is>
          <t>VÄSTRA GÖTALANDS LÄN</t>
        </is>
      </c>
      <c r="E403" t="inlineStr">
        <is>
          <t>SKÖVDE</t>
        </is>
      </c>
      <c r="G403" t="n">
        <v>1.1</v>
      </c>
      <c r="H403" t="n">
        <v>0</v>
      </c>
      <c r="I403" t="n">
        <v>0</v>
      </c>
      <c r="J403" t="n">
        <v>0</v>
      </c>
      <c r="K403" t="n">
        <v>0</v>
      </c>
      <c r="L403" t="n">
        <v>0</v>
      </c>
      <c r="M403" t="n">
        <v>0</v>
      </c>
      <c r="N403" t="n">
        <v>0</v>
      </c>
      <c r="O403" t="n">
        <v>0</v>
      </c>
      <c r="P403" t="n">
        <v>0</v>
      </c>
      <c r="Q403" t="n">
        <v>0</v>
      </c>
      <c r="R403" s="2" t="inlineStr"/>
    </row>
    <row r="404" ht="15" customHeight="1">
      <c r="A404" t="inlineStr">
        <is>
          <t>A 34257-2024</t>
        </is>
      </c>
      <c r="B404" s="1" t="n">
        <v>45524</v>
      </c>
      <c r="C404" s="1" t="n">
        <v>45733</v>
      </c>
      <c r="D404" t="inlineStr">
        <is>
          <t>VÄSTRA GÖTALANDS LÄN</t>
        </is>
      </c>
      <c r="E404" t="inlineStr">
        <is>
          <t>SKÖVDE</t>
        </is>
      </c>
      <c r="G404" t="n">
        <v>10.1</v>
      </c>
      <c r="H404" t="n">
        <v>0</v>
      </c>
      <c r="I404" t="n">
        <v>0</v>
      </c>
      <c r="J404" t="n">
        <v>0</v>
      </c>
      <c r="K404" t="n">
        <v>0</v>
      </c>
      <c r="L404" t="n">
        <v>0</v>
      </c>
      <c r="M404" t="n">
        <v>0</v>
      </c>
      <c r="N404" t="n">
        <v>0</v>
      </c>
      <c r="O404" t="n">
        <v>0</v>
      </c>
      <c r="P404" t="n">
        <v>0</v>
      </c>
      <c r="Q404" t="n">
        <v>0</v>
      </c>
      <c r="R404" s="2" t="inlineStr"/>
    </row>
    <row r="405" ht="15" customHeight="1">
      <c r="A405" t="inlineStr">
        <is>
          <t>A 34261-2024</t>
        </is>
      </c>
      <c r="B405" s="1" t="n">
        <v>45524</v>
      </c>
      <c r="C405" s="1" t="n">
        <v>45733</v>
      </c>
      <c r="D405" t="inlineStr">
        <is>
          <t>VÄSTRA GÖTALANDS LÄN</t>
        </is>
      </c>
      <c r="E405" t="inlineStr">
        <is>
          <t>SKÖVDE</t>
        </is>
      </c>
      <c r="G405" t="n">
        <v>1.2</v>
      </c>
      <c r="H405" t="n">
        <v>0</v>
      </c>
      <c r="I405" t="n">
        <v>0</v>
      </c>
      <c r="J405" t="n">
        <v>0</v>
      </c>
      <c r="K405" t="n">
        <v>0</v>
      </c>
      <c r="L405" t="n">
        <v>0</v>
      </c>
      <c r="M405" t="n">
        <v>0</v>
      </c>
      <c r="N405" t="n">
        <v>0</v>
      </c>
      <c r="O405" t="n">
        <v>0</v>
      </c>
      <c r="P405" t="n">
        <v>0</v>
      </c>
      <c r="Q405" t="n">
        <v>0</v>
      </c>
      <c r="R405" s="2" t="inlineStr"/>
    </row>
    <row r="406" ht="15" customHeight="1">
      <c r="A406" t="inlineStr">
        <is>
          <t>A 35280-2024</t>
        </is>
      </c>
      <c r="B406" s="1" t="n">
        <v>45530</v>
      </c>
      <c r="C406" s="1" t="n">
        <v>45733</v>
      </c>
      <c r="D406" t="inlineStr">
        <is>
          <t>VÄSTRA GÖTALANDS LÄN</t>
        </is>
      </c>
      <c r="E406" t="inlineStr">
        <is>
          <t>SKÖVDE</t>
        </is>
      </c>
      <c r="G406" t="n">
        <v>2.1</v>
      </c>
      <c r="H406" t="n">
        <v>0</v>
      </c>
      <c r="I406" t="n">
        <v>0</v>
      </c>
      <c r="J406" t="n">
        <v>0</v>
      </c>
      <c r="K406" t="n">
        <v>0</v>
      </c>
      <c r="L406" t="n">
        <v>0</v>
      </c>
      <c r="M406" t="n">
        <v>0</v>
      </c>
      <c r="N406" t="n">
        <v>0</v>
      </c>
      <c r="O406" t="n">
        <v>0</v>
      </c>
      <c r="P406" t="n">
        <v>0</v>
      </c>
      <c r="Q406" t="n">
        <v>0</v>
      </c>
      <c r="R406" s="2" t="inlineStr"/>
    </row>
    <row r="407" ht="15" customHeight="1">
      <c r="A407" t="inlineStr">
        <is>
          <t>A 35610-2024</t>
        </is>
      </c>
      <c r="B407" s="1" t="n">
        <v>45531</v>
      </c>
      <c r="C407" s="1" t="n">
        <v>45733</v>
      </c>
      <c r="D407" t="inlineStr">
        <is>
          <t>VÄSTRA GÖTALANDS LÄN</t>
        </is>
      </c>
      <c r="E407" t="inlineStr">
        <is>
          <t>SKÖVDE</t>
        </is>
      </c>
      <c r="G407" t="n">
        <v>11.7</v>
      </c>
      <c r="H407" t="n">
        <v>0</v>
      </c>
      <c r="I407" t="n">
        <v>0</v>
      </c>
      <c r="J407" t="n">
        <v>0</v>
      </c>
      <c r="K407" t="n">
        <v>0</v>
      </c>
      <c r="L407" t="n">
        <v>0</v>
      </c>
      <c r="M407" t="n">
        <v>0</v>
      </c>
      <c r="N407" t="n">
        <v>0</v>
      </c>
      <c r="O407" t="n">
        <v>0</v>
      </c>
      <c r="P407" t="n">
        <v>0</v>
      </c>
      <c r="Q407" t="n">
        <v>0</v>
      </c>
      <c r="R407" s="2" t="inlineStr"/>
    </row>
    <row r="408" ht="15" customHeight="1">
      <c r="A408" t="inlineStr">
        <is>
          <t>A 36133-2024</t>
        </is>
      </c>
      <c r="B408" s="1" t="n">
        <v>45534</v>
      </c>
      <c r="C408" s="1" t="n">
        <v>45733</v>
      </c>
      <c r="D408" t="inlineStr">
        <is>
          <t>VÄSTRA GÖTALANDS LÄN</t>
        </is>
      </c>
      <c r="E408" t="inlineStr">
        <is>
          <t>SKÖVDE</t>
        </is>
      </c>
      <c r="G408" t="n">
        <v>1.9</v>
      </c>
      <c r="H408" t="n">
        <v>0</v>
      </c>
      <c r="I408" t="n">
        <v>0</v>
      </c>
      <c r="J408" t="n">
        <v>0</v>
      </c>
      <c r="K408" t="n">
        <v>0</v>
      </c>
      <c r="L408" t="n">
        <v>0</v>
      </c>
      <c r="M408" t="n">
        <v>0</v>
      </c>
      <c r="N408" t="n">
        <v>0</v>
      </c>
      <c r="O408" t="n">
        <v>0</v>
      </c>
      <c r="P408" t="n">
        <v>0</v>
      </c>
      <c r="Q408" t="n">
        <v>0</v>
      </c>
      <c r="R408" s="2" t="inlineStr"/>
    </row>
    <row r="409" ht="15" customHeight="1">
      <c r="A409" t="inlineStr">
        <is>
          <t>A 37204-2024</t>
        </is>
      </c>
      <c r="B409" s="1" t="n">
        <v>45539</v>
      </c>
      <c r="C409" s="1" t="n">
        <v>45733</v>
      </c>
      <c r="D409" t="inlineStr">
        <is>
          <t>VÄSTRA GÖTALANDS LÄN</t>
        </is>
      </c>
      <c r="E409" t="inlineStr">
        <is>
          <t>SKÖVDE</t>
        </is>
      </c>
      <c r="G409" t="n">
        <v>0.8</v>
      </c>
      <c r="H409" t="n">
        <v>0</v>
      </c>
      <c r="I409" t="n">
        <v>0</v>
      </c>
      <c r="J409" t="n">
        <v>0</v>
      </c>
      <c r="K409" t="n">
        <v>0</v>
      </c>
      <c r="L409" t="n">
        <v>0</v>
      </c>
      <c r="M409" t="n">
        <v>0</v>
      </c>
      <c r="N409" t="n">
        <v>0</v>
      </c>
      <c r="O409" t="n">
        <v>0</v>
      </c>
      <c r="P409" t="n">
        <v>0</v>
      </c>
      <c r="Q409" t="n">
        <v>0</v>
      </c>
      <c r="R409" s="2" t="inlineStr"/>
    </row>
    <row r="410" ht="15" customHeight="1">
      <c r="A410" t="inlineStr">
        <is>
          <t>A 38903-2024</t>
        </is>
      </c>
      <c r="B410" s="1" t="n">
        <v>45547</v>
      </c>
      <c r="C410" s="1" t="n">
        <v>45733</v>
      </c>
      <c r="D410" t="inlineStr">
        <is>
          <t>VÄSTRA GÖTALANDS LÄN</t>
        </is>
      </c>
      <c r="E410" t="inlineStr">
        <is>
          <t>SKÖVDE</t>
        </is>
      </c>
      <c r="G410" t="n">
        <v>0.9</v>
      </c>
      <c r="H410" t="n">
        <v>0</v>
      </c>
      <c r="I410" t="n">
        <v>0</v>
      </c>
      <c r="J410" t="n">
        <v>0</v>
      </c>
      <c r="K410" t="n">
        <v>0</v>
      </c>
      <c r="L410" t="n">
        <v>0</v>
      </c>
      <c r="M410" t="n">
        <v>0</v>
      </c>
      <c r="N410" t="n">
        <v>0</v>
      </c>
      <c r="O410" t="n">
        <v>0</v>
      </c>
      <c r="P410" t="n">
        <v>0</v>
      </c>
      <c r="Q410" t="n">
        <v>0</v>
      </c>
      <c r="R410" s="2" t="inlineStr"/>
    </row>
    <row r="411" ht="15" customHeight="1">
      <c r="A411" t="inlineStr">
        <is>
          <t>A 39474-2024</t>
        </is>
      </c>
      <c r="B411" s="1" t="n">
        <v>45551</v>
      </c>
      <c r="C411" s="1" t="n">
        <v>45733</v>
      </c>
      <c r="D411" t="inlineStr">
        <is>
          <t>VÄSTRA GÖTALANDS LÄN</t>
        </is>
      </c>
      <c r="E411" t="inlineStr">
        <is>
          <t>SKÖVDE</t>
        </is>
      </c>
      <c r="G411" t="n">
        <v>9.4</v>
      </c>
      <c r="H411" t="n">
        <v>0</v>
      </c>
      <c r="I411" t="n">
        <v>0</v>
      </c>
      <c r="J411" t="n">
        <v>0</v>
      </c>
      <c r="K411" t="n">
        <v>0</v>
      </c>
      <c r="L411" t="n">
        <v>0</v>
      </c>
      <c r="M411" t="n">
        <v>0</v>
      </c>
      <c r="N411" t="n">
        <v>0</v>
      </c>
      <c r="O411" t="n">
        <v>0</v>
      </c>
      <c r="P411" t="n">
        <v>0</v>
      </c>
      <c r="Q411" t="n">
        <v>0</v>
      </c>
      <c r="R411" s="2" t="inlineStr"/>
    </row>
    <row r="412" ht="15" customHeight="1">
      <c r="A412" t="inlineStr">
        <is>
          <t>A 41722-2024</t>
        </is>
      </c>
      <c r="B412" s="1" t="n">
        <v>45560</v>
      </c>
      <c r="C412" s="1" t="n">
        <v>45733</v>
      </c>
      <c r="D412" t="inlineStr">
        <is>
          <t>VÄSTRA GÖTALANDS LÄN</t>
        </is>
      </c>
      <c r="E412" t="inlineStr">
        <is>
          <t>SKÖVDE</t>
        </is>
      </c>
      <c r="G412" t="n">
        <v>10.1</v>
      </c>
      <c r="H412" t="n">
        <v>0</v>
      </c>
      <c r="I412" t="n">
        <v>0</v>
      </c>
      <c r="J412" t="n">
        <v>0</v>
      </c>
      <c r="K412" t="n">
        <v>0</v>
      </c>
      <c r="L412" t="n">
        <v>0</v>
      </c>
      <c r="M412" t="n">
        <v>0</v>
      </c>
      <c r="N412" t="n">
        <v>0</v>
      </c>
      <c r="O412" t="n">
        <v>0</v>
      </c>
      <c r="P412" t="n">
        <v>0</v>
      </c>
      <c r="Q412" t="n">
        <v>0</v>
      </c>
      <c r="R412" s="2" t="inlineStr"/>
    </row>
    <row r="413" ht="15" customHeight="1">
      <c r="A413" t="inlineStr">
        <is>
          <t>A 47466-2024</t>
        </is>
      </c>
      <c r="B413" s="1" t="n">
        <v>45586</v>
      </c>
      <c r="C413" s="1" t="n">
        <v>45733</v>
      </c>
      <c r="D413" t="inlineStr">
        <is>
          <t>VÄSTRA GÖTALANDS LÄN</t>
        </is>
      </c>
      <c r="E413" t="inlineStr">
        <is>
          <t>SKÖVDE</t>
        </is>
      </c>
      <c r="G413" t="n">
        <v>1.1</v>
      </c>
      <c r="H413" t="n">
        <v>0</v>
      </c>
      <c r="I413" t="n">
        <v>0</v>
      </c>
      <c r="J413" t="n">
        <v>0</v>
      </c>
      <c r="K413" t="n">
        <v>0</v>
      </c>
      <c r="L413" t="n">
        <v>0</v>
      </c>
      <c r="M413" t="n">
        <v>0</v>
      </c>
      <c r="N413" t="n">
        <v>0</v>
      </c>
      <c r="O413" t="n">
        <v>0</v>
      </c>
      <c r="P413" t="n">
        <v>0</v>
      </c>
      <c r="Q413" t="n">
        <v>0</v>
      </c>
      <c r="R413" s="2" t="inlineStr"/>
    </row>
    <row r="414" ht="15" customHeight="1">
      <c r="A414" t="inlineStr">
        <is>
          <t>A 47490-2024</t>
        </is>
      </c>
      <c r="B414" s="1" t="n">
        <v>45586</v>
      </c>
      <c r="C414" s="1" t="n">
        <v>45733</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48338-2024</t>
        </is>
      </c>
      <c r="B415" s="1" t="n">
        <v>45590</v>
      </c>
      <c r="C415" s="1" t="n">
        <v>45733</v>
      </c>
      <c r="D415" t="inlineStr">
        <is>
          <t>VÄSTRA GÖTALANDS LÄN</t>
        </is>
      </c>
      <c r="E415" t="inlineStr">
        <is>
          <t>SKÖVDE</t>
        </is>
      </c>
      <c r="G415" t="n">
        <v>0.8</v>
      </c>
      <c r="H415" t="n">
        <v>0</v>
      </c>
      <c r="I415" t="n">
        <v>0</v>
      </c>
      <c r="J415" t="n">
        <v>0</v>
      </c>
      <c r="K415" t="n">
        <v>0</v>
      </c>
      <c r="L415" t="n">
        <v>0</v>
      </c>
      <c r="M415" t="n">
        <v>0</v>
      </c>
      <c r="N415" t="n">
        <v>0</v>
      </c>
      <c r="O415" t="n">
        <v>0</v>
      </c>
      <c r="P415" t="n">
        <v>0</v>
      </c>
      <c r="Q415" t="n">
        <v>0</v>
      </c>
      <c r="R415" s="2" t="inlineStr"/>
    </row>
    <row r="416" ht="15" customHeight="1">
      <c r="A416" t="inlineStr">
        <is>
          <t>A 48225-2024</t>
        </is>
      </c>
      <c r="B416" s="1" t="n">
        <v>45590</v>
      </c>
      <c r="C416" s="1" t="n">
        <v>45733</v>
      </c>
      <c r="D416" t="inlineStr">
        <is>
          <t>VÄSTRA GÖTALANDS LÄN</t>
        </is>
      </c>
      <c r="E416" t="inlineStr">
        <is>
          <t>SKÖVDE</t>
        </is>
      </c>
      <c r="G416" t="n">
        <v>1</v>
      </c>
      <c r="H416" t="n">
        <v>0</v>
      </c>
      <c r="I416" t="n">
        <v>0</v>
      </c>
      <c r="J416" t="n">
        <v>0</v>
      </c>
      <c r="K416" t="n">
        <v>0</v>
      </c>
      <c r="L416" t="n">
        <v>0</v>
      </c>
      <c r="M416" t="n">
        <v>0</v>
      </c>
      <c r="N416" t="n">
        <v>0</v>
      </c>
      <c r="O416" t="n">
        <v>0</v>
      </c>
      <c r="P416" t="n">
        <v>0</v>
      </c>
      <c r="Q416" t="n">
        <v>0</v>
      </c>
      <c r="R416" s="2" t="inlineStr"/>
    </row>
    <row r="417" ht="15" customHeight="1">
      <c r="A417" t="inlineStr">
        <is>
          <t>A 48336-2024</t>
        </is>
      </c>
      <c r="B417" s="1" t="n">
        <v>45590</v>
      </c>
      <c r="C417" s="1" t="n">
        <v>45733</v>
      </c>
      <c r="D417" t="inlineStr">
        <is>
          <t>VÄSTRA GÖTALANDS LÄN</t>
        </is>
      </c>
      <c r="E417" t="inlineStr">
        <is>
          <t>SKÖVDE</t>
        </is>
      </c>
      <c r="G417" t="n">
        <v>2</v>
      </c>
      <c r="H417" t="n">
        <v>0</v>
      </c>
      <c r="I417" t="n">
        <v>0</v>
      </c>
      <c r="J417" t="n">
        <v>0</v>
      </c>
      <c r="K417" t="n">
        <v>0</v>
      </c>
      <c r="L417" t="n">
        <v>0</v>
      </c>
      <c r="M417" t="n">
        <v>0</v>
      </c>
      <c r="N417" t="n">
        <v>0</v>
      </c>
      <c r="O417" t="n">
        <v>0</v>
      </c>
      <c r="P417" t="n">
        <v>0</v>
      </c>
      <c r="Q417" t="n">
        <v>0</v>
      </c>
      <c r="R417" s="2" t="inlineStr"/>
    </row>
    <row r="418" ht="15" customHeight="1">
      <c r="A418" t="inlineStr">
        <is>
          <t>A 48575-2024</t>
        </is>
      </c>
      <c r="B418" s="1" t="n">
        <v>45593</v>
      </c>
      <c r="C418" s="1" t="n">
        <v>45733</v>
      </c>
      <c r="D418" t="inlineStr">
        <is>
          <t>VÄSTRA GÖTALANDS LÄN</t>
        </is>
      </c>
      <c r="E418" t="inlineStr">
        <is>
          <t>SKÖVDE</t>
        </is>
      </c>
      <c r="G418" t="n">
        <v>1.9</v>
      </c>
      <c r="H418" t="n">
        <v>0</v>
      </c>
      <c r="I418" t="n">
        <v>0</v>
      </c>
      <c r="J418" t="n">
        <v>0</v>
      </c>
      <c r="K418" t="n">
        <v>0</v>
      </c>
      <c r="L418" t="n">
        <v>0</v>
      </c>
      <c r="M418" t="n">
        <v>0</v>
      </c>
      <c r="N418" t="n">
        <v>0</v>
      </c>
      <c r="O418" t="n">
        <v>0</v>
      </c>
      <c r="P418" t="n">
        <v>0</v>
      </c>
      <c r="Q418" t="n">
        <v>0</v>
      </c>
      <c r="R418" s="2" t="inlineStr"/>
    </row>
    <row r="419" ht="15" customHeight="1">
      <c r="A419" t="inlineStr">
        <is>
          <t>A 48983-2024</t>
        </is>
      </c>
      <c r="B419" s="1" t="n">
        <v>45594</v>
      </c>
      <c r="C419" s="1" t="n">
        <v>45733</v>
      </c>
      <c r="D419" t="inlineStr">
        <is>
          <t>VÄSTRA GÖTALANDS LÄN</t>
        </is>
      </c>
      <c r="E419" t="inlineStr">
        <is>
          <t>SKÖVDE</t>
        </is>
      </c>
      <c r="G419" t="n">
        <v>3.1</v>
      </c>
      <c r="H419" t="n">
        <v>0</v>
      </c>
      <c r="I419" t="n">
        <v>0</v>
      </c>
      <c r="J419" t="n">
        <v>0</v>
      </c>
      <c r="K419" t="n">
        <v>0</v>
      </c>
      <c r="L419" t="n">
        <v>0</v>
      </c>
      <c r="M419" t="n">
        <v>0</v>
      </c>
      <c r="N419" t="n">
        <v>0</v>
      </c>
      <c r="O419" t="n">
        <v>0</v>
      </c>
      <c r="P419" t="n">
        <v>0</v>
      </c>
      <c r="Q419" t="n">
        <v>0</v>
      </c>
      <c r="R419" s="2" t="inlineStr"/>
    </row>
    <row r="420" ht="15" customHeight="1">
      <c r="A420" t="inlineStr">
        <is>
          <t>A 52370-2024</t>
        </is>
      </c>
      <c r="B420" s="1" t="n">
        <v>45609</v>
      </c>
      <c r="C420" s="1" t="n">
        <v>45733</v>
      </c>
      <c r="D420" t="inlineStr">
        <is>
          <t>VÄSTRA GÖTALANDS LÄN</t>
        </is>
      </c>
      <c r="E420" t="inlineStr">
        <is>
          <t>SKÖVDE</t>
        </is>
      </c>
      <c r="G420" t="n">
        <v>4.3</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45733</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53101-2024</t>
        </is>
      </c>
      <c r="B422" s="1" t="n">
        <v>45611</v>
      </c>
      <c r="C422" s="1" t="n">
        <v>45733</v>
      </c>
      <c r="D422" t="inlineStr">
        <is>
          <t>VÄSTRA GÖTALANDS LÄN</t>
        </is>
      </c>
      <c r="E422" t="inlineStr">
        <is>
          <t>SKÖVDE</t>
        </is>
      </c>
      <c r="G422" t="n">
        <v>1.4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45733</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45733</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54064-2024</t>
        </is>
      </c>
      <c r="B425" s="1" t="n">
        <v>45616</v>
      </c>
      <c r="C425" s="1" t="n">
        <v>45733</v>
      </c>
      <c r="D425" t="inlineStr">
        <is>
          <t>VÄSTRA GÖTALANDS LÄN</t>
        </is>
      </c>
      <c r="E425" t="inlineStr">
        <is>
          <t>SKÖVDE</t>
        </is>
      </c>
      <c r="G425" t="n">
        <v>1.5</v>
      </c>
      <c r="H425" t="n">
        <v>0</v>
      </c>
      <c r="I425" t="n">
        <v>0</v>
      </c>
      <c r="J425" t="n">
        <v>0</v>
      </c>
      <c r="K425" t="n">
        <v>0</v>
      </c>
      <c r="L425" t="n">
        <v>0</v>
      </c>
      <c r="M425" t="n">
        <v>0</v>
      </c>
      <c r="N425" t="n">
        <v>0</v>
      </c>
      <c r="O425" t="n">
        <v>0</v>
      </c>
      <c r="P425" t="n">
        <v>0</v>
      </c>
      <c r="Q425" t="n">
        <v>0</v>
      </c>
      <c r="R425" s="2" t="inlineStr"/>
    </row>
    <row r="426" ht="15" customHeight="1">
      <c r="A426" t="inlineStr">
        <is>
          <t>A 55044-2024</t>
        </is>
      </c>
      <c r="B426" s="1" t="n">
        <v>45621</v>
      </c>
      <c r="C426" s="1" t="n">
        <v>45733</v>
      </c>
      <c r="D426" t="inlineStr">
        <is>
          <t>VÄSTRA GÖTALANDS LÄN</t>
        </is>
      </c>
      <c r="E426" t="inlineStr">
        <is>
          <t>SKÖVDE</t>
        </is>
      </c>
      <c r="G426" t="n">
        <v>2.7</v>
      </c>
      <c r="H426" t="n">
        <v>0</v>
      </c>
      <c r="I426" t="n">
        <v>0</v>
      </c>
      <c r="J426" t="n">
        <v>0</v>
      </c>
      <c r="K426" t="n">
        <v>0</v>
      </c>
      <c r="L426" t="n">
        <v>0</v>
      </c>
      <c r="M426" t="n">
        <v>0</v>
      </c>
      <c r="N426" t="n">
        <v>0</v>
      </c>
      <c r="O426" t="n">
        <v>0</v>
      </c>
      <c r="P426" t="n">
        <v>0</v>
      </c>
      <c r="Q426" t="n">
        <v>0</v>
      </c>
      <c r="R426" s="2" t="inlineStr"/>
    </row>
    <row r="427" ht="15" customHeight="1">
      <c r="A427" t="inlineStr">
        <is>
          <t>A 56436-2024</t>
        </is>
      </c>
      <c r="B427" s="1" t="n">
        <v>45625</v>
      </c>
      <c r="C427" s="1" t="n">
        <v>45733</v>
      </c>
      <c r="D427" t="inlineStr">
        <is>
          <t>VÄSTRA GÖTALANDS LÄN</t>
        </is>
      </c>
      <c r="E427" t="inlineStr">
        <is>
          <t>SKÖVDE</t>
        </is>
      </c>
      <c r="G427" t="n">
        <v>3.9</v>
      </c>
      <c r="H427" t="n">
        <v>0</v>
      </c>
      <c r="I427" t="n">
        <v>0</v>
      </c>
      <c r="J427" t="n">
        <v>0</v>
      </c>
      <c r="K427" t="n">
        <v>0</v>
      </c>
      <c r="L427" t="n">
        <v>0</v>
      </c>
      <c r="M427" t="n">
        <v>0</v>
      </c>
      <c r="N427" t="n">
        <v>0</v>
      </c>
      <c r="O427" t="n">
        <v>0</v>
      </c>
      <c r="P427" t="n">
        <v>0</v>
      </c>
      <c r="Q427" t="n">
        <v>0</v>
      </c>
      <c r="R427" s="2" t="inlineStr"/>
    </row>
    <row r="428" ht="15" customHeight="1">
      <c r="A428" t="inlineStr">
        <is>
          <t>A 58138-2024</t>
        </is>
      </c>
      <c r="B428" s="1" t="n">
        <v>45631</v>
      </c>
      <c r="C428" s="1" t="n">
        <v>45733</v>
      </c>
      <c r="D428" t="inlineStr">
        <is>
          <t>VÄSTRA GÖTALANDS LÄN</t>
        </is>
      </c>
      <c r="E428" t="inlineStr">
        <is>
          <t>SKÖVDE</t>
        </is>
      </c>
      <c r="G428" t="n">
        <v>0.8</v>
      </c>
      <c r="H428" t="n">
        <v>0</v>
      </c>
      <c r="I428" t="n">
        <v>0</v>
      </c>
      <c r="J428" t="n">
        <v>0</v>
      </c>
      <c r="K428" t="n">
        <v>0</v>
      </c>
      <c r="L428" t="n">
        <v>0</v>
      </c>
      <c r="M428" t="n">
        <v>0</v>
      </c>
      <c r="N428" t="n">
        <v>0</v>
      </c>
      <c r="O428" t="n">
        <v>0</v>
      </c>
      <c r="P428" t="n">
        <v>0</v>
      </c>
      <c r="Q428" t="n">
        <v>0</v>
      </c>
      <c r="R428" s="2" t="inlineStr"/>
    </row>
    <row r="429" ht="15" customHeight="1">
      <c r="A429" t="inlineStr">
        <is>
          <t>A 58456-2024</t>
        </is>
      </c>
      <c r="B429" s="1" t="n">
        <v>45635</v>
      </c>
      <c r="C429" s="1" t="n">
        <v>45733</v>
      </c>
      <c r="D429" t="inlineStr">
        <is>
          <t>VÄSTRA GÖTALANDS LÄN</t>
        </is>
      </c>
      <c r="E429" t="inlineStr">
        <is>
          <t>SKÖVDE</t>
        </is>
      </c>
      <c r="G429" t="n">
        <v>3.8</v>
      </c>
      <c r="H429" t="n">
        <v>0</v>
      </c>
      <c r="I429" t="n">
        <v>0</v>
      </c>
      <c r="J429" t="n">
        <v>0</v>
      </c>
      <c r="K429" t="n">
        <v>0</v>
      </c>
      <c r="L429" t="n">
        <v>0</v>
      </c>
      <c r="M429" t="n">
        <v>0</v>
      </c>
      <c r="N429" t="n">
        <v>0</v>
      </c>
      <c r="O429" t="n">
        <v>0</v>
      </c>
      <c r="P429" t="n">
        <v>0</v>
      </c>
      <c r="Q429" t="n">
        <v>0</v>
      </c>
      <c r="R429" s="2" t="inlineStr"/>
    </row>
    <row r="430" ht="15" customHeight="1">
      <c r="A430" t="inlineStr">
        <is>
          <t>A 59053-2024</t>
        </is>
      </c>
      <c r="B430" s="1" t="n">
        <v>45636</v>
      </c>
      <c r="C430" s="1" t="n">
        <v>45733</v>
      </c>
      <c r="D430" t="inlineStr">
        <is>
          <t>VÄSTRA GÖTALANDS LÄN</t>
        </is>
      </c>
      <c r="E430" t="inlineStr">
        <is>
          <t>SKÖVDE</t>
        </is>
      </c>
      <c r="G430" t="n">
        <v>3.3</v>
      </c>
      <c r="H430" t="n">
        <v>0</v>
      </c>
      <c r="I430" t="n">
        <v>0</v>
      </c>
      <c r="J430" t="n">
        <v>0</v>
      </c>
      <c r="K430" t="n">
        <v>0</v>
      </c>
      <c r="L430" t="n">
        <v>0</v>
      </c>
      <c r="M430" t="n">
        <v>0</v>
      </c>
      <c r="N430" t="n">
        <v>0</v>
      </c>
      <c r="O430" t="n">
        <v>0</v>
      </c>
      <c r="P430" t="n">
        <v>0</v>
      </c>
      <c r="Q430" t="n">
        <v>0</v>
      </c>
      <c r="R430" s="2" t="inlineStr"/>
    </row>
    <row r="431" ht="15" customHeight="1">
      <c r="A431" t="inlineStr">
        <is>
          <t>A 60358-2024</t>
        </is>
      </c>
      <c r="B431" s="1" t="n">
        <v>45643</v>
      </c>
      <c r="C431" s="1" t="n">
        <v>45733</v>
      </c>
      <c r="D431" t="inlineStr">
        <is>
          <t>VÄSTRA GÖTALANDS LÄN</t>
        </is>
      </c>
      <c r="E431" t="inlineStr">
        <is>
          <t>SKÖVDE</t>
        </is>
      </c>
      <c r="G431" t="n">
        <v>0.9</v>
      </c>
      <c r="H431" t="n">
        <v>0</v>
      </c>
      <c r="I431" t="n">
        <v>0</v>
      </c>
      <c r="J431" t="n">
        <v>0</v>
      </c>
      <c r="K431" t="n">
        <v>0</v>
      </c>
      <c r="L431" t="n">
        <v>0</v>
      </c>
      <c r="M431" t="n">
        <v>0</v>
      </c>
      <c r="N431" t="n">
        <v>0</v>
      </c>
      <c r="O431" t="n">
        <v>0</v>
      </c>
      <c r="P431" t="n">
        <v>0</v>
      </c>
      <c r="Q431" t="n">
        <v>0</v>
      </c>
      <c r="R431" s="2" t="inlineStr"/>
    </row>
    <row r="432" ht="15" customHeight="1">
      <c r="A432" t="inlineStr">
        <is>
          <t>A 61213-2024</t>
        </is>
      </c>
      <c r="B432" s="1" t="n">
        <v>45645</v>
      </c>
      <c r="C432" s="1" t="n">
        <v>45733</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row r="433" ht="15" customHeight="1">
      <c r="A433" t="inlineStr">
        <is>
          <t>A 61336-2024</t>
        </is>
      </c>
      <c r="B433" s="1" t="n">
        <v>45645</v>
      </c>
      <c r="C433" s="1" t="n">
        <v>45733</v>
      </c>
      <c r="D433" t="inlineStr">
        <is>
          <t>VÄSTRA GÖTALANDS LÄN</t>
        </is>
      </c>
      <c r="E433" t="inlineStr">
        <is>
          <t>SKÖVDE</t>
        </is>
      </c>
      <c r="G433" t="n">
        <v>1.1</v>
      </c>
      <c r="H433" t="n">
        <v>0</v>
      </c>
      <c r="I433" t="n">
        <v>0</v>
      </c>
      <c r="J433" t="n">
        <v>0</v>
      </c>
      <c r="K433" t="n">
        <v>0</v>
      </c>
      <c r="L433" t="n">
        <v>0</v>
      </c>
      <c r="M433" t="n">
        <v>0</v>
      </c>
      <c r="N433" t="n">
        <v>0</v>
      </c>
      <c r="O433" t="n">
        <v>0</v>
      </c>
      <c r="P433" t="n">
        <v>0</v>
      </c>
      <c r="Q433" t="n">
        <v>0</v>
      </c>
      <c r="R433" s="2" t="inlineStr"/>
    </row>
    <row r="434" ht="15" customHeight="1">
      <c r="A434" t="inlineStr">
        <is>
          <t>A 738-2025</t>
        </is>
      </c>
      <c r="B434" s="1" t="n">
        <v>45665</v>
      </c>
      <c r="C434" s="1" t="n">
        <v>45733</v>
      </c>
      <c r="D434" t="inlineStr">
        <is>
          <t>VÄSTRA GÖTALANDS LÄN</t>
        </is>
      </c>
      <c r="E434" t="inlineStr">
        <is>
          <t>SKÖVDE</t>
        </is>
      </c>
      <c r="G434" t="n">
        <v>1.6</v>
      </c>
      <c r="H434" t="n">
        <v>0</v>
      </c>
      <c r="I434" t="n">
        <v>0</v>
      </c>
      <c r="J434" t="n">
        <v>0</v>
      </c>
      <c r="K434" t="n">
        <v>0</v>
      </c>
      <c r="L434" t="n">
        <v>0</v>
      </c>
      <c r="M434" t="n">
        <v>0</v>
      </c>
      <c r="N434" t="n">
        <v>0</v>
      </c>
      <c r="O434" t="n">
        <v>0</v>
      </c>
      <c r="P434" t="n">
        <v>0</v>
      </c>
      <c r="Q434" t="n">
        <v>0</v>
      </c>
      <c r="R434" s="2" t="inlineStr"/>
    </row>
    <row r="435" ht="15" customHeight="1">
      <c r="A435" t="inlineStr">
        <is>
          <t>A 830-2025</t>
        </is>
      </c>
      <c r="B435" s="1" t="n">
        <v>45665</v>
      </c>
      <c r="C435" s="1" t="n">
        <v>45733</v>
      </c>
      <c r="D435" t="inlineStr">
        <is>
          <t>VÄSTRA GÖTALANDS LÄN</t>
        </is>
      </c>
      <c r="E435" t="inlineStr">
        <is>
          <t>SKÖVDE</t>
        </is>
      </c>
      <c r="G435" t="n">
        <v>3.8</v>
      </c>
      <c r="H435" t="n">
        <v>0</v>
      </c>
      <c r="I435" t="n">
        <v>0</v>
      </c>
      <c r="J435" t="n">
        <v>0</v>
      </c>
      <c r="K435" t="n">
        <v>0</v>
      </c>
      <c r="L435" t="n">
        <v>0</v>
      </c>
      <c r="M435" t="n">
        <v>0</v>
      </c>
      <c r="N435" t="n">
        <v>0</v>
      </c>
      <c r="O435" t="n">
        <v>0</v>
      </c>
      <c r="P435" t="n">
        <v>0</v>
      </c>
      <c r="Q435" t="n">
        <v>0</v>
      </c>
      <c r="R435" s="2" t="inlineStr"/>
    </row>
    <row r="436" ht="15" customHeight="1">
      <c r="A436" t="inlineStr">
        <is>
          <t>A 832-2025</t>
        </is>
      </c>
      <c r="B436" s="1" t="n">
        <v>45665</v>
      </c>
      <c r="C436" s="1" t="n">
        <v>45733</v>
      </c>
      <c r="D436" t="inlineStr">
        <is>
          <t>VÄSTRA GÖTALANDS LÄN</t>
        </is>
      </c>
      <c r="E436" t="inlineStr">
        <is>
          <t>SKÖVDE</t>
        </is>
      </c>
      <c r="G436" t="n">
        <v>2.5</v>
      </c>
      <c r="H436" t="n">
        <v>0</v>
      </c>
      <c r="I436" t="n">
        <v>0</v>
      </c>
      <c r="J436" t="n">
        <v>0</v>
      </c>
      <c r="K436" t="n">
        <v>0</v>
      </c>
      <c r="L436" t="n">
        <v>0</v>
      </c>
      <c r="M436" t="n">
        <v>0</v>
      </c>
      <c r="N436" t="n">
        <v>0</v>
      </c>
      <c r="O436" t="n">
        <v>0</v>
      </c>
      <c r="P436" t="n">
        <v>0</v>
      </c>
      <c r="Q436" t="n">
        <v>0</v>
      </c>
      <c r="R436" s="2" t="inlineStr"/>
    </row>
    <row r="437" ht="15" customHeight="1">
      <c r="A437" t="inlineStr">
        <is>
          <t>A 935-2025</t>
        </is>
      </c>
      <c r="B437" s="1" t="n">
        <v>45666</v>
      </c>
      <c r="C437" s="1" t="n">
        <v>45733</v>
      </c>
      <c r="D437" t="inlineStr">
        <is>
          <t>VÄSTRA GÖTALANDS LÄN</t>
        </is>
      </c>
      <c r="E437" t="inlineStr">
        <is>
          <t>SKÖVDE</t>
        </is>
      </c>
      <c r="G437" t="n">
        <v>1.7</v>
      </c>
      <c r="H437" t="n">
        <v>0</v>
      </c>
      <c r="I437" t="n">
        <v>0</v>
      </c>
      <c r="J437" t="n">
        <v>0</v>
      </c>
      <c r="K437" t="n">
        <v>0</v>
      </c>
      <c r="L437" t="n">
        <v>0</v>
      </c>
      <c r="M437" t="n">
        <v>0</v>
      </c>
      <c r="N437" t="n">
        <v>0</v>
      </c>
      <c r="O437" t="n">
        <v>0</v>
      </c>
      <c r="P437" t="n">
        <v>0</v>
      </c>
      <c r="Q437" t="n">
        <v>0</v>
      </c>
      <c r="R437" s="2" t="inlineStr"/>
    </row>
    <row r="438" ht="15" customHeight="1">
      <c r="A438" t="inlineStr">
        <is>
          <t>A 1629-2025</t>
        </is>
      </c>
      <c r="B438" s="1" t="n">
        <v>45670</v>
      </c>
      <c r="C438" s="1" t="n">
        <v>45733</v>
      </c>
      <c r="D438" t="inlineStr">
        <is>
          <t>VÄSTRA GÖTALANDS LÄN</t>
        </is>
      </c>
      <c r="E438" t="inlineStr">
        <is>
          <t>SKÖVDE</t>
        </is>
      </c>
      <c r="G438" t="n">
        <v>11.8</v>
      </c>
      <c r="H438" t="n">
        <v>0</v>
      </c>
      <c r="I438" t="n">
        <v>0</v>
      </c>
      <c r="J438" t="n">
        <v>0</v>
      </c>
      <c r="K438" t="n">
        <v>0</v>
      </c>
      <c r="L438" t="n">
        <v>0</v>
      </c>
      <c r="M438" t="n">
        <v>0</v>
      </c>
      <c r="N438" t="n">
        <v>0</v>
      </c>
      <c r="O438" t="n">
        <v>0</v>
      </c>
      <c r="P438" t="n">
        <v>0</v>
      </c>
      <c r="Q438" t="n">
        <v>0</v>
      </c>
      <c r="R438" s="2" t="inlineStr"/>
    </row>
    <row r="439" ht="15" customHeight="1">
      <c r="A439" t="inlineStr">
        <is>
          <t>A 1618-2025</t>
        </is>
      </c>
      <c r="B439" s="1" t="n">
        <v>45670</v>
      </c>
      <c r="C439" s="1" t="n">
        <v>45733</v>
      </c>
      <c r="D439" t="inlineStr">
        <is>
          <t>VÄSTRA GÖTALANDS LÄN</t>
        </is>
      </c>
      <c r="E439" t="inlineStr">
        <is>
          <t>SKÖVDE</t>
        </is>
      </c>
      <c r="G439" t="n">
        <v>3.7</v>
      </c>
      <c r="H439" t="n">
        <v>0</v>
      </c>
      <c r="I439" t="n">
        <v>0</v>
      </c>
      <c r="J439" t="n">
        <v>0</v>
      </c>
      <c r="K439" t="n">
        <v>0</v>
      </c>
      <c r="L439" t="n">
        <v>0</v>
      </c>
      <c r="M439" t="n">
        <v>0</v>
      </c>
      <c r="N439" t="n">
        <v>0</v>
      </c>
      <c r="O439" t="n">
        <v>0</v>
      </c>
      <c r="P439" t="n">
        <v>0</v>
      </c>
      <c r="Q439" t="n">
        <v>0</v>
      </c>
      <c r="R439" s="2" t="inlineStr"/>
    </row>
    <row r="440" ht="15" customHeight="1">
      <c r="A440" t="inlineStr">
        <is>
          <t>A 4051-2025</t>
        </is>
      </c>
      <c r="B440" s="1" t="n">
        <v>45684</v>
      </c>
      <c r="C440" s="1" t="n">
        <v>45733</v>
      </c>
      <c r="D440" t="inlineStr">
        <is>
          <t>VÄSTRA GÖTALANDS LÄN</t>
        </is>
      </c>
      <c r="E440" t="inlineStr">
        <is>
          <t>SKÖVDE</t>
        </is>
      </c>
      <c r="G440" t="n">
        <v>1.8</v>
      </c>
      <c r="H440" t="n">
        <v>0</v>
      </c>
      <c r="I440" t="n">
        <v>0</v>
      </c>
      <c r="J440" t="n">
        <v>0</v>
      </c>
      <c r="K440" t="n">
        <v>0</v>
      </c>
      <c r="L440" t="n">
        <v>0</v>
      </c>
      <c r="M440" t="n">
        <v>0</v>
      </c>
      <c r="N440" t="n">
        <v>0</v>
      </c>
      <c r="O440" t="n">
        <v>0</v>
      </c>
      <c r="P440" t="n">
        <v>0</v>
      </c>
      <c r="Q440" t="n">
        <v>0</v>
      </c>
      <c r="R440" s="2" t="inlineStr"/>
    </row>
    <row r="441" ht="15" customHeight="1">
      <c r="A441" t="inlineStr">
        <is>
          <t>A 4316-2025</t>
        </is>
      </c>
      <c r="B441" s="1" t="n">
        <v>45685</v>
      </c>
      <c r="C441" s="1" t="n">
        <v>45733</v>
      </c>
      <c r="D441" t="inlineStr">
        <is>
          <t>VÄSTRA GÖTALANDS LÄN</t>
        </is>
      </c>
      <c r="E441" t="inlineStr">
        <is>
          <t>SKÖVDE</t>
        </is>
      </c>
      <c r="G441" t="n">
        <v>1.3</v>
      </c>
      <c r="H441" t="n">
        <v>0</v>
      </c>
      <c r="I441" t="n">
        <v>0</v>
      </c>
      <c r="J441" t="n">
        <v>0</v>
      </c>
      <c r="K441" t="n">
        <v>0</v>
      </c>
      <c r="L441" t="n">
        <v>0</v>
      </c>
      <c r="M441" t="n">
        <v>0</v>
      </c>
      <c r="N441" t="n">
        <v>0</v>
      </c>
      <c r="O441" t="n">
        <v>0</v>
      </c>
      <c r="P441" t="n">
        <v>0</v>
      </c>
      <c r="Q441" t="n">
        <v>0</v>
      </c>
      <c r="R441" s="2" t="inlineStr"/>
    </row>
    <row r="442" ht="15" customHeight="1">
      <c r="A442" t="inlineStr">
        <is>
          <t>A 4322-2025</t>
        </is>
      </c>
      <c r="B442" s="1" t="n">
        <v>45685</v>
      </c>
      <c r="C442" s="1" t="n">
        <v>45733</v>
      </c>
      <c r="D442" t="inlineStr">
        <is>
          <t>VÄSTRA GÖTALANDS LÄN</t>
        </is>
      </c>
      <c r="E442" t="inlineStr">
        <is>
          <t>SKÖVDE</t>
        </is>
      </c>
      <c r="G442" t="n">
        <v>2.1</v>
      </c>
      <c r="H442" t="n">
        <v>0</v>
      </c>
      <c r="I442" t="n">
        <v>0</v>
      </c>
      <c r="J442" t="n">
        <v>0</v>
      </c>
      <c r="K442" t="n">
        <v>0</v>
      </c>
      <c r="L442" t="n">
        <v>0</v>
      </c>
      <c r="M442" t="n">
        <v>0</v>
      </c>
      <c r="N442" t="n">
        <v>0</v>
      </c>
      <c r="O442" t="n">
        <v>0</v>
      </c>
      <c r="P442" t="n">
        <v>0</v>
      </c>
      <c r="Q442" t="n">
        <v>0</v>
      </c>
      <c r="R442" s="2" t="inlineStr"/>
      <c r="U442">
        <f>HYPERLINK("https://klasma.github.io/Logging_1496/knärot/A 4322-2025 karta knärot.png", "A 4322-2025")</f>
        <v/>
      </c>
      <c r="V442">
        <f>HYPERLINK("https://klasma.github.io/Logging_1496/klagomål/A 4322-2025 FSC-klagomål.docx", "A 4322-2025")</f>
        <v/>
      </c>
      <c r="W442">
        <f>HYPERLINK("https://klasma.github.io/Logging_1496/klagomålsmail/A 4322-2025 FSC-klagomål mail.docx", "A 4322-2025")</f>
        <v/>
      </c>
      <c r="X442">
        <f>HYPERLINK("https://klasma.github.io/Logging_1496/tillsyn/A 4322-2025 tillsynsbegäran.docx", "A 4322-2025")</f>
        <v/>
      </c>
      <c r="Y442">
        <f>HYPERLINK("https://klasma.github.io/Logging_1496/tillsynsmail/A 4322-2025 tillsynsbegäran mail.docx", "A 4322-2025")</f>
        <v/>
      </c>
    </row>
    <row r="443" ht="15" customHeight="1">
      <c r="A443" t="inlineStr">
        <is>
          <t>A 4325-2025</t>
        </is>
      </c>
      <c r="B443" s="1" t="n">
        <v>45685</v>
      </c>
      <c r="C443" s="1" t="n">
        <v>45733</v>
      </c>
      <c r="D443" t="inlineStr">
        <is>
          <t>VÄSTRA GÖTALANDS LÄN</t>
        </is>
      </c>
      <c r="E443" t="inlineStr">
        <is>
          <t>SKÖVDE</t>
        </is>
      </c>
      <c r="G443" t="n">
        <v>2.7</v>
      </c>
      <c r="H443" t="n">
        <v>0</v>
      </c>
      <c r="I443" t="n">
        <v>0</v>
      </c>
      <c r="J443" t="n">
        <v>0</v>
      </c>
      <c r="K443" t="n">
        <v>0</v>
      </c>
      <c r="L443" t="n">
        <v>0</v>
      </c>
      <c r="M443" t="n">
        <v>0</v>
      </c>
      <c r="N443" t="n">
        <v>0</v>
      </c>
      <c r="O443" t="n">
        <v>0</v>
      </c>
      <c r="P443" t="n">
        <v>0</v>
      </c>
      <c r="Q443" t="n">
        <v>0</v>
      </c>
      <c r="R443" s="2" t="inlineStr"/>
    </row>
    <row r="444" ht="15" customHeight="1">
      <c r="A444" t="inlineStr">
        <is>
          <t>A 4600-2025</t>
        </is>
      </c>
      <c r="B444" s="1" t="n">
        <v>45687</v>
      </c>
      <c r="C444" s="1" t="n">
        <v>45733</v>
      </c>
      <c r="D444" t="inlineStr">
        <is>
          <t>VÄSTRA GÖTALANDS LÄN</t>
        </is>
      </c>
      <c r="E444" t="inlineStr">
        <is>
          <t>SKÖVDE</t>
        </is>
      </c>
      <c r="G444" t="n">
        <v>1</v>
      </c>
      <c r="H444" t="n">
        <v>0</v>
      </c>
      <c r="I444" t="n">
        <v>0</v>
      </c>
      <c r="J444" t="n">
        <v>0</v>
      </c>
      <c r="K444" t="n">
        <v>0</v>
      </c>
      <c r="L444" t="n">
        <v>0</v>
      </c>
      <c r="M444" t="n">
        <v>0</v>
      </c>
      <c r="N444" t="n">
        <v>0</v>
      </c>
      <c r="O444" t="n">
        <v>0</v>
      </c>
      <c r="P444" t="n">
        <v>0</v>
      </c>
      <c r="Q444" t="n">
        <v>0</v>
      </c>
      <c r="R444" s="2" t="inlineStr"/>
    </row>
    <row r="445" ht="15" customHeight="1">
      <c r="A445" t="inlineStr">
        <is>
          <t>A 5386-2025</t>
        </is>
      </c>
      <c r="B445" s="1" t="n">
        <v>45692</v>
      </c>
      <c r="C445" s="1" t="n">
        <v>45733</v>
      </c>
      <c r="D445" t="inlineStr">
        <is>
          <t>VÄSTRA GÖTALANDS LÄN</t>
        </is>
      </c>
      <c r="E445" t="inlineStr">
        <is>
          <t>SKÖVDE</t>
        </is>
      </c>
      <c r="G445" t="n">
        <v>0.8</v>
      </c>
      <c r="H445" t="n">
        <v>0</v>
      </c>
      <c r="I445" t="n">
        <v>0</v>
      </c>
      <c r="J445" t="n">
        <v>0</v>
      </c>
      <c r="K445" t="n">
        <v>0</v>
      </c>
      <c r="L445" t="n">
        <v>0</v>
      </c>
      <c r="M445" t="n">
        <v>0</v>
      </c>
      <c r="N445" t="n">
        <v>0</v>
      </c>
      <c r="O445" t="n">
        <v>0</v>
      </c>
      <c r="P445" t="n">
        <v>0</v>
      </c>
      <c r="Q445" t="n">
        <v>0</v>
      </c>
      <c r="R445" s="2" t="inlineStr"/>
    </row>
    <row r="446" ht="15" customHeight="1">
      <c r="A446" t="inlineStr">
        <is>
          <t>A 5466-2025</t>
        </is>
      </c>
      <c r="B446" s="1" t="n">
        <v>45693</v>
      </c>
      <c r="C446" s="1" t="n">
        <v>45733</v>
      </c>
      <c r="D446" t="inlineStr">
        <is>
          <t>VÄSTRA GÖTALANDS LÄN</t>
        </is>
      </c>
      <c r="E446" t="inlineStr">
        <is>
          <t>SKÖVDE</t>
        </is>
      </c>
      <c r="G446" t="n">
        <v>0.5</v>
      </c>
      <c r="H446" t="n">
        <v>0</v>
      </c>
      <c r="I446" t="n">
        <v>0</v>
      </c>
      <c r="J446" t="n">
        <v>0</v>
      </c>
      <c r="K446" t="n">
        <v>0</v>
      </c>
      <c r="L446" t="n">
        <v>0</v>
      </c>
      <c r="M446" t="n">
        <v>0</v>
      </c>
      <c r="N446" t="n">
        <v>0</v>
      </c>
      <c r="O446" t="n">
        <v>0</v>
      </c>
      <c r="P446" t="n">
        <v>0</v>
      </c>
      <c r="Q446" t="n">
        <v>0</v>
      </c>
      <c r="R446" s="2" t="inlineStr"/>
    </row>
    <row r="447" ht="15" customHeight="1">
      <c r="A447" t="inlineStr">
        <is>
          <t>A 5470-2025</t>
        </is>
      </c>
      <c r="B447" s="1" t="n">
        <v>45693</v>
      </c>
      <c r="C447" s="1" t="n">
        <v>45733</v>
      </c>
      <c r="D447" t="inlineStr">
        <is>
          <t>VÄSTRA GÖTALANDS LÄN</t>
        </is>
      </c>
      <c r="E447" t="inlineStr">
        <is>
          <t>SKÖVDE</t>
        </is>
      </c>
      <c r="G447" t="n">
        <v>1.1</v>
      </c>
      <c r="H447" t="n">
        <v>0</v>
      </c>
      <c r="I447" t="n">
        <v>0</v>
      </c>
      <c r="J447" t="n">
        <v>0</v>
      </c>
      <c r="K447" t="n">
        <v>0</v>
      </c>
      <c r="L447" t="n">
        <v>0</v>
      </c>
      <c r="M447" t="n">
        <v>0</v>
      </c>
      <c r="N447" t="n">
        <v>0</v>
      </c>
      <c r="O447" t="n">
        <v>0</v>
      </c>
      <c r="P447" t="n">
        <v>0</v>
      </c>
      <c r="Q447" t="n">
        <v>0</v>
      </c>
      <c r="R447" s="2" t="inlineStr"/>
    </row>
    <row r="448" ht="15" customHeight="1">
      <c r="A448" t="inlineStr">
        <is>
          <t>A 5474-2025</t>
        </is>
      </c>
      <c r="B448" s="1" t="n">
        <v>45693</v>
      </c>
      <c r="C448" s="1" t="n">
        <v>45733</v>
      </c>
      <c r="D448" t="inlineStr">
        <is>
          <t>VÄSTRA GÖTALANDS LÄN</t>
        </is>
      </c>
      <c r="E448" t="inlineStr">
        <is>
          <t>SKÖVDE</t>
        </is>
      </c>
      <c r="G448" t="n">
        <v>1.6</v>
      </c>
      <c r="H448" t="n">
        <v>0</v>
      </c>
      <c r="I448" t="n">
        <v>0</v>
      </c>
      <c r="J448" t="n">
        <v>0</v>
      </c>
      <c r="K448" t="n">
        <v>0</v>
      </c>
      <c r="L448" t="n">
        <v>0</v>
      </c>
      <c r="M448" t="n">
        <v>0</v>
      </c>
      <c r="N448" t="n">
        <v>0</v>
      </c>
      <c r="O448" t="n">
        <v>0</v>
      </c>
      <c r="P448" t="n">
        <v>0</v>
      </c>
      <c r="Q448" t="n">
        <v>0</v>
      </c>
      <c r="R448" s="2" t="inlineStr"/>
    </row>
    <row r="449" ht="15" customHeight="1">
      <c r="A449" t="inlineStr">
        <is>
          <t>A 5478-2025</t>
        </is>
      </c>
      <c r="B449" s="1" t="n">
        <v>45693</v>
      </c>
      <c r="C449" s="1" t="n">
        <v>45733</v>
      </c>
      <c r="D449" t="inlineStr">
        <is>
          <t>VÄSTRA GÖTALANDS LÄN</t>
        </is>
      </c>
      <c r="E449" t="inlineStr">
        <is>
          <t>SKÖVDE</t>
        </is>
      </c>
      <c r="G449" t="n">
        <v>4.3</v>
      </c>
      <c r="H449" t="n">
        <v>0</v>
      </c>
      <c r="I449" t="n">
        <v>0</v>
      </c>
      <c r="J449" t="n">
        <v>0</v>
      </c>
      <c r="K449" t="n">
        <v>0</v>
      </c>
      <c r="L449" t="n">
        <v>0</v>
      </c>
      <c r="M449" t="n">
        <v>0</v>
      </c>
      <c r="N449" t="n">
        <v>0</v>
      </c>
      <c r="O449" t="n">
        <v>0</v>
      </c>
      <c r="P449" t="n">
        <v>0</v>
      </c>
      <c r="Q449" t="n">
        <v>0</v>
      </c>
      <c r="R449" s="2" t="inlineStr"/>
    </row>
    <row r="450" ht="15" customHeight="1">
      <c r="A450" t="inlineStr">
        <is>
          <t>A 5479-2025</t>
        </is>
      </c>
      <c r="B450" s="1" t="n">
        <v>45693</v>
      </c>
      <c r="C450" s="1" t="n">
        <v>45733</v>
      </c>
      <c r="D450" t="inlineStr">
        <is>
          <t>VÄSTRA GÖTALANDS LÄN</t>
        </is>
      </c>
      <c r="E450" t="inlineStr">
        <is>
          <t>SKÖVDE</t>
        </is>
      </c>
      <c r="G450" t="n">
        <v>2.7</v>
      </c>
      <c r="H450" t="n">
        <v>0</v>
      </c>
      <c r="I450" t="n">
        <v>0</v>
      </c>
      <c r="J450" t="n">
        <v>0</v>
      </c>
      <c r="K450" t="n">
        <v>0</v>
      </c>
      <c r="L450" t="n">
        <v>0</v>
      </c>
      <c r="M450" t="n">
        <v>0</v>
      </c>
      <c r="N450" t="n">
        <v>0</v>
      </c>
      <c r="O450" t="n">
        <v>0</v>
      </c>
      <c r="P450" t="n">
        <v>0</v>
      </c>
      <c r="Q450" t="n">
        <v>0</v>
      </c>
      <c r="R450" s="2" t="inlineStr"/>
    </row>
    <row r="451" ht="15" customHeight="1">
      <c r="A451" t="inlineStr">
        <is>
          <t>A 5471-2025</t>
        </is>
      </c>
      <c r="B451" s="1" t="n">
        <v>45693</v>
      </c>
      <c r="C451" s="1" t="n">
        <v>45733</v>
      </c>
      <c r="D451" t="inlineStr">
        <is>
          <t>VÄSTRA GÖTALANDS LÄN</t>
        </is>
      </c>
      <c r="E451" t="inlineStr">
        <is>
          <t>SKÖVDE</t>
        </is>
      </c>
      <c r="G451" t="n">
        <v>0.7</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45733</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5476-2025</t>
        </is>
      </c>
      <c r="B453" s="1" t="n">
        <v>45693</v>
      </c>
      <c r="C453" s="1" t="n">
        <v>45733</v>
      </c>
      <c r="D453" t="inlineStr">
        <is>
          <t>VÄSTRA GÖTALANDS LÄN</t>
        </is>
      </c>
      <c r="E453" t="inlineStr">
        <is>
          <t>SKÖVDE</t>
        </is>
      </c>
      <c r="G453" t="n">
        <v>1.5</v>
      </c>
      <c r="H453" t="n">
        <v>0</v>
      </c>
      <c r="I453" t="n">
        <v>0</v>
      </c>
      <c r="J453" t="n">
        <v>0</v>
      </c>
      <c r="K453" t="n">
        <v>0</v>
      </c>
      <c r="L453" t="n">
        <v>0</v>
      </c>
      <c r="M453" t="n">
        <v>0</v>
      </c>
      <c r="N453" t="n">
        <v>0</v>
      </c>
      <c r="O453" t="n">
        <v>0</v>
      </c>
      <c r="P453" t="n">
        <v>0</v>
      </c>
      <c r="Q453" t="n">
        <v>0</v>
      </c>
      <c r="R453" s="2" t="inlineStr"/>
    </row>
    <row r="454" ht="15" customHeight="1">
      <c r="A454" t="inlineStr">
        <is>
          <t>A 5472-2025</t>
        </is>
      </c>
      <c r="B454" s="1" t="n">
        <v>45693</v>
      </c>
      <c r="C454" s="1" t="n">
        <v>45733</v>
      </c>
      <c r="D454" t="inlineStr">
        <is>
          <t>VÄSTRA GÖTALANDS LÄN</t>
        </is>
      </c>
      <c r="E454" t="inlineStr">
        <is>
          <t>SKÖVDE</t>
        </is>
      </c>
      <c r="G454" t="n">
        <v>2.1</v>
      </c>
      <c r="H454" t="n">
        <v>0</v>
      </c>
      <c r="I454" t="n">
        <v>0</v>
      </c>
      <c r="J454" t="n">
        <v>0</v>
      </c>
      <c r="K454" t="n">
        <v>0</v>
      </c>
      <c r="L454" t="n">
        <v>0</v>
      </c>
      <c r="M454" t="n">
        <v>0</v>
      </c>
      <c r="N454" t="n">
        <v>0</v>
      </c>
      <c r="O454" t="n">
        <v>0</v>
      </c>
      <c r="P454" t="n">
        <v>0</v>
      </c>
      <c r="Q454" t="n">
        <v>0</v>
      </c>
      <c r="R454" s="2" t="inlineStr"/>
    </row>
    <row r="455" ht="15" customHeight="1">
      <c r="A455" t="inlineStr">
        <is>
          <t>A 5464-2025</t>
        </is>
      </c>
      <c r="B455" s="1" t="n">
        <v>45693</v>
      </c>
      <c r="C455" s="1" t="n">
        <v>45733</v>
      </c>
      <c r="D455" t="inlineStr">
        <is>
          <t>VÄSTRA GÖTALANDS LÄN</t>
        </is>
      </c>
      <c r="E455" t="inlineStr">
        <is>
          <t>SKÖVDE</t>
        </is>
      </c>
      <c r="G455" t="n">
        <v>0.7</v>
      </c>
      <c r="H455" t="n">
        <v>0</v>
      </c>
      <c r="I455" t="n">
        <v>0</v>
      </c>
      <c r="J455" t="n">
        <v>0</v>
      </c>
      <c r="K455" t="n">
        <v>0</v>
      </c>
      <c r="L455" t="n">
        <v>0</v>
      </c>
      <c r="M455" t="n">
        <v>0</v>
      </c>
      <c r="N455" t="n">
        <v>0</v>
      </c>
      <c r="O455" t="n">
        <v>0</v>
      </c>
      <c r="P455" t="n">
        <v>0</v>
      </c>
      <c r="Q455" t="n">
        <v>0</v>
      </c>
      <c r="R455" s="2" t="inlineStr"/>
    </row>
    <row r="456" ht="15" customHeight="1">
      <c r="A456" t="inlineStr">
        <is>
          <t>A 5477-2025</t>
        </is>
      </c>
      <c r="B456" s="1" t="n">
        <v>45693</v>
      </c>
      <c r="C456" s="1" t="n">
        <v>45733</v>
      </c>
      <c r="D456" t="inlineStr">
        <is>
          <t>VÄSTRA GÖTALANDS LÄN</t>
        </is>
      </c>
      <c r="E456" t="inlineStr">
        <is>
          <t>SKÖVDE</t>
        </is>
      </c>
      <c r="G456" t="n">
        <v>0.4</v>
      </c>
      <c r="H456" t="n">
        <v>0</v>
      </c>
      <c r="I456" t="n">
        <v>0</v>
      </c>
      <c r="J456" t="n">
        <v>0</v>
      </c>
      <c r="K456" t="n">
        <v>0</v>
      </c>
      <c r="L456" t="n">
        <v>0</v>
      </c>
      <c r="M456" t="n">
        <v>0</v>
      </c>
      <c r="N456" t="n">
        <v>0</v>
      </c>
      <c r="O456" t="n">
        <v>0</v>
      </c>
      <c r="P456" t="n">
        <v>0</v>
      </c>
      <c r="Q456" t="n">
        <v>0</v>
      </c>
      <c r="R456" s="2" t="inlineStr"/>
    </row>
    <row r="457" ht="15" customHeight="1">
      <c r="A457" t="inlineStr">
        <is>
          <t>A 5473-2025</t>
        </is>
      </c>
      <c r="B457" s="1" t="n">
        <v>45693</v>
      </c>
      <c r="C457" s="1" t="n">
        <v>45733</v>
      </c>
      <c r="D457" t="inlineStr">
        <is>
          <t>VÄSTRA GÖTALANDS LÄN</t>
        </is>
      </c>
      <c r="E457" t="inlineStr">
        <is>
          <t>SKÖVDE</t>
        </is>
      </c>
      <c r="G457" t="n">
        <v>2.9</v>
      </c>
      <c r="H457" t="n">
        <v>0</v>
      </c>
      <c r="I457" t="n">
        <v>0</v>
      </c>
      <c r="J457" t="n">
        <v>0</v>
      </c>
      <c r="K457" t="n">
        <v>0</v>
      </c>
      <c r="L457" t="n">
        <v>0</v>
      </c>
      <c r="M457" t="n">
        <v>0</v>
      </c>
      <c r="N457" t="n">
        <v>0</v>
      </c>
      <c r="O457" t="n">
        <v>0</v>
      </c>
      <c r="P457" t="n">
        <v>0</v>
      </c>
      <c r="Q457" t="n">
        <v>0</v>
      </c>
      <c r="R457" s="2" t="inlineStr"/>
    </row>
    <row r="458" ht="15" customHeight="1">
      <c r="A458" t="inlineStr">
        <is>
          <t>A 5469-2025</t>
        </is>
      </c>
      <c r="B458" s="1" t="n">
        <v>45693</v>
      </c>
      <c r="C458" s="1" t="n">
        <v>45733</v>
      </c>
      <c r="D458" t="inlineStr">
        <is>
          <t>VÄSTRA GÖTALANDS LÄN</t>
        </is>
      </c>
      <c r="E458" t="inlineStr">
        <is>
          <t>SKÖVDE</t>
        </is>
      </c>
      <c r="G458" t="n">
        <v>0.8</v>
      </c>
      <c r="H458" t="n">
        <v>0</v>
      </c>
      <c r="I458" t="n">
        <v>0</v>
      </c>
      <c r="J458" t="n">
        <v>0</v>
      </c>
      <c r="K458" t="n">
        <v>0</v>
      </c>
      <c r="L458" t="n">
        <v>0</v>
      </c>
      <c r="M458" t="n">
        <v>0</v>
      </c>
      <c r="N458" t="n">
        <v>0</v>
      </c>
      <c r="O458" t="n">
        <v>0</v>
      </c>
      <c r="P458" t="n">
        <v>0</v>
      </c>
      <c r="Q458" t="n">
        <v>0</v>
      </c>
      <c r="R458" s="2" t="inlineStr"/>
    </row>
    <row r="459" ht="15" customHeight="1">
      <c r="A459" t="inlineStr">
        <is>
          <t>A 5465-2025</t>
        </is>
      </c>
      <c r="B459" s="1" t="n">
        <v>45693</v>
      </c>
      <c r="C459" s="1" t="n">
        <v>45733</v>
      </c>
      <c r="D459" t="inlineStr">
        <is>
          <t>VÄSTRA GÖTALANDS LÄN</t>
        </is>
      </c>
      <c r="E459" t="inlineStr">
        <is>
          <t>SKÖVDE</t>
        </is>
      </c>
      <c r="G459" t="n">
        <v>1</v>
      </c>
      <c r="H459" t="n">
        <v>0</v>
      </c>
      <c r="I459" t="n">
        <v>0</v>
      </c>
      <c r="J459" t="n">
        <v>0</v>
      </c>
      <c r="K459" t="n">
        <v>0</v>
      </c>
      <c r="L459" t="n">
        <v>0</v>
      </c>
      <c r="M459" t="n">
        <v>0</v>
      </c>
      <c r="N459" t="n">
        <v>0</v>
      </c>
      <c r="O459" t="n">
        <v>0</v>
      </c>
      <c r="P459" t="n">
        <v>0</v>
      </c>
      <c r="Q459" t="n">
        <v>0</v>
      </c>
      <c r="R459" s="2" t="inlineStr"/>
    </row>
    <row r="460" ht="15" customHeight="1">
      <c r="A460" t="inlineStr">
        <is>
          <t>A 5717-2025</t>
        </is>
      </c>
      <c r="B460" s="1" t="n">
        <v>45694</v>
      </c>
      <c r="C460" s="1" t="n">
        <v>45733</v>
      </c>
      <c r="D460" t="inlineStr">
        <is>
          <t>VÄSTRA GÖTALANDS LÄN</t>
        </is>
      </c>
      <c r="E460" t="inlineStr">
        <is>
          <t>SKÖVDE</t>
        </is>
      </c>
      <c r="G460" t="n">
        <v>1.4</v>
      </c>
      <c r="H460" t="n">
        <v>0</v>
      </c>
      <c r="I460" t="n">
        <v>0</v>
      </c>
      <c r="J460" t="n">
        <v>0</v>
      </c>
      <c r="K460" t="n">
        <v>0</v>
      </c>
      <c r="L460" t="n">
        <v>0</v>
      </c>
      <c r="M460" t="n">
        <v>0</v>
      </c>
      <c r="N460" t="n">
        <v>0</v>
      </c>
      <c r="O460" t="n">
        <v>0</v>
      </c>
      <c r="P460" t="n">
        <v>0</v>
      </c>
      <c r="Q460" t="n">
        <v>0</v>
      </c>
      <c r="R460" s="2" t="inlineStr"/>
    </row>
    <row r="461" ht="15" customHeight="1">
      <c r="A461" t="inlineStr">
        <is>
          <t>A 5714-2025</t>
        </is>
      </c>
      <c r="B461" s="1" t="n">
        <v>45694</v>
      </c>
      <c r="C461" s="1" t="n">
        <v>45733</v>
      </c>
      <c r="D461" t="inlineStr">
        <is>
          <t>VÄSTRA GÖTALANDS LÄN</t>
        </is>
      </c>
      <c r="E461" t="inlineStr">
        <is>
          <t>SKÖVDE</t>
        </is>
      </c>
      <c r="G461" t="n">
        <v>1.1</v>
      </c>
      <c r="H461" t="n">
        <v>0</v>
      </c>
      <c r="I461" t="n">
        <v>0</v>
      </c>
      <c r="J461" t="n">
        <v>0</v>
      </c>
      <c r="K461" t="n">
        <v>0</v>
      </c>
      <c r="L461" t="n">
        <v>0</v>
      </c>
      <c r="M461" t="n">
        <v>0</v>
      </c>
      <c r="N461" t="n">
        <v>0</v>
      </c>
      <c r="O461" t="n">
        <v>0</v>
      </c>
      <c r="P461" t="n">
        <v>0</v>
      </c>
      <c r="Q461" t="n">
        <v>0</v>
      </c>
      <c r="R461" s="2" t="inlineStr"/>
    </row>
    <row r="462" ht="15" customHeight="1">
      <c r="A462" t="inlineStr">
        <is>
          <t>A 6419-2025</t>
        </is>
      </c>
      <c r="B462" s="1" t="n">
        <v>45699</v>
      </c>
      <c r="C462" s="1" t="n">
        <v>45733</v>
      </c>
      <c r="D462" t="inlineStr">
        <is>
          <t>VÄSTRA GÖTALANDS LÄN</t>
        </is>
      </c>
      <c r="E462" t="inlineStr">
        <is>
          <t>SKÖVDE</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6756-2025</t>
        </is>
      </c>
      <c r="B463" s="1" t="n">
        <v>45700</v>
      </c>
      <c r="C463" s="1" t="n">
        <v>45733</v>
      </c>
      <c r="D463" t="inlineStr">
        <is>
          <t>VÄSTRA GÖTALANDS LÄN</t>
        </is>
      </c>
      <c r="E463" t="inlineStr">
        <is>
          <t>SKÖVDE</t>
        </is>
      </c>
      <c r="G463" t="n">
        <v>2.6</v>
      </c>
      <c r="H463" t="n">
        <v>0</v>
      </c>
      <c r="I463" t="n">
        <v>0</v>
      </c>
      <c r="J463" t="n">
        <v>0</v>
      </c>
      <c r="K463" t="n">
        <v>0</v>
      </c>
      <c r="L463" t="n">
        <v>0</v>
      </c>
      <c r="M463" t="n">
        <v>0</v>
      </c>
      <c r="N463" t="n">
        <v>0</v>
      </c>
      <c r="O463" t="n">
        <v>0</v>
      </c>
      <c r="P463" t="n">
        <v>0</v>
      </c>
      <c r="Q463" t="n">
        <v>0</v>
      </c>
      <c r="R463" s="2" t="inlineStr"/>
    </row>
    <row r="464" ht="15" customHeight="1">
      <c r="A464" t="inlineStr">
        <is>
          <t>A 6760-2025</t>
        </is>
      </c>
      <c r="B464" s="1" t="n">
        <v>45700</v>
      </c>
      <c r="C464" s="1" t="n">
        <v>45733</v>
      </c>
      <c r="D464" t="inlineStr">
        <is>
          <t>VÄSTRA GÖTALANDS LÄN</t>
        </is>
      </c>
      <c r="E464" t="inlineStr">
        <is>
          <t>SKÖVDE</t>
        </is>
      </c>
      <c r="G464" t="n">
        <v>0.9</v>
      </c>
      <c r="H464" t="n">
        <v>0</v>
      </c>
      <c r="I464" t="n">
        <v>0</v>
      </c>
      <c r="J464" t="n">
        <v>0</v>
      </c>
      <c r="K464" t="n">
        <v>0</v>
      </c>
      <c r="L464" t="n">
        <v>0</v>
      </c>
      <c r="M464" t="n">
        <v>0</v>
      </c>
      <c r="N464" t="n">
        <v>0</v>
      </c>
      <c r="O464" t="n">
        <v>0</v>
      </c>
      <c r="P464" t="n">
        <v>0</v>
      </c>
      <c r="Q464" t="n">
        <v>0</v>
      </c>
      <c r="R464" s="2" t="inlineStr"/>
    </row>
    <row r="465" ht="15" customHeight="1">
      <c r="A465" t="inlineStr">
        <is>
          <t>A 6758-2025</t>
        </is>
      </c>
      <c r="B465" s="1" t="n">
        <v>45700</v>
      </c>
      <c r="C465" s="1" t="n">
        <v>45733</v>
      </c>
      <c r="D465" t="inlineStr">
        <is>
          <t>VÄSTRA GÖTALANDS LÄN</t>
        </is>
      </c>
      <c r="E465" t="inlineStr">
        <is>
          <t>SKÖVDE</t>
        </is>
      </c>
      <c r="G465" t="n">
        <v>3.1</v>
      </c>
      <c r="H465" t="n">
        <v>0</v>
      </c>
      <c r="I465" t="n">
        <v>0</v>
      </c>
      <c r="J465" t="n">
        <v>0</v>
      </c>
      <c r="K465" t="n">
        <v>0</v>
      </c>
      <c r="L465" t="n">
        <v>0</v>
      </c>
      <c r="M465" t="n">
        <v>0</v>
      </c>
      <c r="N465" t="n">
        <v>0</v>
      </c>
      <c r="O465" t="n">
        <v>0</v>
      </c>
      <c r="P465" t="n">
        <v>0</v>
      </c>
      <c r="Q465" t="n">
        <v>0</v>
      </c>
      <c r="R465" s="2" t="inlineStr"/>
    </row>
    <row r="466" ht="15" customHeight="1">
      <c r="A466" t="inlineStr">
        <is>
          <t>A 6772-2025</t>
        </is>
      </c>
      <c r="B466" s="1" t="n">
        <v>45700</v>
      </c>
      <c r="C466" s="1" t="n">
        <v>45733</v>
      </c>
      <c r="D466" t="inlineStr">
        <is>
          <t>VÄSTRA GÖTALANDS LÄN</t>
        </is>
      </c>
      <c r="E466" t="inlineStr">
        <is>
          <t>SKÖVDE</t>
        </is>
      </c>
      <c r="G466" t="n">
        <v>0.7</v>
      </c>
      <c r="H466" t="n">
        <v>0</v>
      </c>
      <c r="I466" t="n">
        <v>0</v>
      </c>
      <c r="J466" t="n">
        <v>0</v>
      </c>
      <c r="K466" t="n">
        <v>0</v>
      </c>
      <c r="L466" t="n">
        <v>0</v>
      </c>
      <c r="M466" t="n">
        <v>0</v>
      </c>
      <c r="N466" t="n">
        <v>0</v>
      </c>
      <c r="O466" t="n">
        <v>0</v>
      </c>
      <c r="P466" t="n">
        <v>0</v>
      </c>
      <c r="Q466" t="n">
        <v>0</v>
      </c>
      <c r="R466" s="2" t="inlineStr"/>
    </row>
    <row r="467" ht="15" customHeight="1">
      <c r="A467" t="inlineStr">
        <is>
          <t>A 6840-2025</t>
        </is>
      </c>
      <c r="B467" s="1" t="n">
        <v>45700</v>
      </c>
      <c r="C467" s="1" t="n">
        <v>45733</v>
      </c>
      <c r="D467" t="inlineStr">
        <is>
          <t>VÄSTRA GÖTALANDS LÄN</t>
        </is>
      </c>
      <c r="E467" t="inlineStr">
        <is>
          <t>SKÖVDE</t>
        </is>
      </c>
      <c r="G467" t="n">
        <v>3.8</v>
      </c>
      <c r="H467" t="n">
        <v>0</v>
      </c>
      <c r="I467" t="n">
        <v>0</v>
      </c>
      <c r="J467" t="n">
        <v>0</v>
      </c>
      <c r="K467" t="n">
        <v>0</v>
      </c>
      <c r="L467" t="n">
        <v>0</v>
      </c>
      <c r="M467" t="n">
        <v>0</v>
      </c>
      <c r="N467" t="n">
        <v>0</v>
      </c>
      <c r="O467" t="n">
        <v>0</v>
      </c>
      <c r="P467" t="n">
        <v>0</v>
      </c>
      <c r="Q467" t="n">
        <v>0</v>
      </c>
      <c r="R467" s="2" t="inlineStr"/>
    </row>
    <row r="468" ht="15" customHeight="1">
      <c r="A468" t="inlineStr">
        <is>
          <t>A 6759-2025</t>
        </is>
      </c>
      <c r="B468" s="1" t="n">
        <v>45700</v>
      </c>
      <c r="C468" s="1" t="n">
        <v>45733</v>
      </c>
      <c r="D468" t="inlineStr">
        <is>
          <t>VÄSTRA GÖTALANDS LÄN</t>
        </is>
      </c>
      <c r="E468" t="inlineStr">
        <is>
          <t>SKÖVDE</t>
        </is>
      </c>
      <c r="G468" t="n">
        <v>2.1</v>
      </c>
      <c r="H468" t="n">
        <v>0</v>
      </c>
      <c r="I468" t="n">
        <v>0</v>
      </c>
      <c r="J468" t="n">
        <v>0</v>
      </c>
      <c r="K468" t="n">
        <v>0</v>
      </c>
      <c r="L468" t="n">
        <v>0</v>
      </c>
      <c r="M468" t="n">
        <v>0</v>
      </c>
      <c r="N468" t="n">
        <v>0</v>
      </c>
      <c r="O468" t="n">
        <v>0</v>
      </c>
      <c r="P468" t="n">
        <v>0</v>
      </c>
      <c r="Q468" t="n">
        <v>0</v>
      </c>
      <c r="R468" s="2" t="inlineStr"/>
    </row>
    <row r="469" ht="15" customHeight="1">
      <c r="A469" t="inlineStr">
        <is>
          <t>A 6755-2025</t>
        </is>
      </c>
      <c r="B469" s="1" t="n">
        <v>45700</v>
      </c>
      <c r="C469" s="1" t="n">
        <v>45733</v>
      </c>
      <c r="D469" t="inlineStr">
        <is>
          <t>VÄSTRA GÖTALANDS LÄN</t>
        </is>
      </c>
      <c r="E469" t="inlineStr">
        <is>
          <t>SKÖVDE</t>
        </is>
      </c>
      <c r="G469" t="n">
        <v>6</v>
      </c>
      <c r="H469" t="n">
        <v>0</v>
      </c>
      <c r="I469" t="n">
        <v>0</v>
      </c>
      <c r="J469" t="n">
        <v>0</v>
      </c>
      <c r="K469" t="n">
        <v>0</v>
      </c>
      <c r="L469" t="n">
        <v>0</v>
      </c>
      <c r="M469" t="n">
        <v>0</v>
      </c>
      <c r="N469" t="n">
        <v>0</v>
      </c>
      <c r="O469" t="n">
        <v>0</v>
      </c>
      <c r="P469" t="n">
        <v>0</v>
      </c>
      <c r="Q469" t="n">
        <v>0</v>
      </c>
      <c r="R469" s="2" t="inlineStr"/>
    </row>
    <row r="470" ht="15" customHeight="1">
      <c r="A470" t="inlineStr">
        <is>
          <t>A 6874-2025</t>
        </is>
      </c>
      <c r="B470" s="1" t="n">
        <v>45701</v>
      </c>
      <c r="C470" s="1" t="n">
        <v>45733</v>
      </c>
      <c r="D470" t="inlineStr">
        <is>
          <t>VÄSTRA GÖTALANDS LÄN</t>
        </is>
      </c>
      <c r="E470" t="inlineStr">
        <is>
          <t>SKÖVDE</t>
        </is>
      </c>
      <c r="G470" t="n">
        <v>1.3</v>
      </c>
      <c r="H470" t="n">
        <v>0</v>
      </c>
      <c r="I470" t="n">
        <v>0</v>
      </c>
      <c r="J470" t="n">
        <v>0</v>
      </c>
      <c r="K470" t="n">
        <v>0</v>
      </c>
      <c r="L470" t="n">
        <v>0</v>
      </c>
      <c r="M470" t="n">
        <v>0</v>
      </c>
      <c r="N470" t="n">
        <v>0</v>
      </c>
      <c r="O470" t="n">
        <v>0</v>
      </c>
      <c r="P470" t="n">
        <v>0</v>
      </c>
      <c r="Q470" t="n">
        <v>0</v>
      </c>
      <c r="R470" s="2" t="inlineStr"/>
    </row>
    <row r="471" ht="15" customHeight="1">
      <c r="A471" t="inlineStr">
        <is>
          <t>A 7870-2025</t>
        </is>
      </c>
      <c r="B471" s="1" t="n">
        <v>45706</v>
      </c>
      <c r="C471" s="1" t="n">
        <v>45733</v>
      </c>
      <c r="D471" t="inlineStr">
        <is>
          <t>VÄSTRA GÖTALANDS LÄN</t>
        </is>
      </c>
      <c r="E471" t="inlineStr">
        <is>
          <t>SKÖVDE</t>
        </is>
      </c>
      <c r="G471" t="n">
        <v>2.1</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45733</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8155-2025</t>
        </is>
      </c>
      <c r="B473" s="1" t="n">
        <v>45708</v>
      </c>
      <c r="C473" s="1" t="n">
        <v>45733</v>
      </c>
      <c r="D473" t="inlineStr">
        <is>
          <t>VÄSTRA GÖTALANDS LÄN</t>
        </is>
      </c>
      <c r="E473" t="inlineStr">
        <is>
          <t>SKÖVDE</t>
        </is>
      </c>
      <c r="G473" t="n">
        <v>5.3</v>
      </c>
      <c r="H473" t="n">
        <v>0</v>
      </c>
      <c r="I473" t="n">
        <v>0</v>
      </c>
      <c r="J473" t="n">
        <v>0</v>
      </c>
      <c r="K473" t="n">
        <v>0</v>
      </c>
      <c r="L473" t="n">
        <v>0</v>
      </c>
      <c r="M473" t="n">
        <v>0</v>
      </c>
      <c r="N473" t="n">
        <v>0</v>
      </c>
      <c r="O473" t="n">
        <v>0</v>
      </c>
      <c r="P473" t="n">
        <v>0</v>
      </c>
      <c r="Q473" t="n">
        <v>0</v>
      </c>
      <c r="R473" s="2" t="inlineStr"/>
    </row>
    <row r="474" ht="15" customHeight="1">
      <c r="A474" t="inlineStr">
        <is>
          <t>A 8557-2025</t>
        </is>
      </c>
      <c r="B474" s="1" t="n">
        <v>45709</v>
      </c>
      <c r="C474" s="1" t="n">
        <v>45733</v>
      </c>
      <c r="D474" t="inlineStr">
        <is>
          <t>VÄSTRA GÖTALANDS LÄN</t>
        </is>
      </c>
      <c r="E474" t="inlineStr">
        <is>
          <t>SKÖVDE</t>
        </is>
      </c>
      <c r="G474" t="n">
        <v>0.9</v>
      </c>
      <c r="H474" t="n">
        <v>0</v>
      </c>
      <c r="I474" t="n">
        <v>0</v>
      </c>
      <c r="J474" t="n">
        <v>0</v>
      </c>
      <c r="K474" t="n">
        <v>0</v>
      </c>
      <c r="L474" t="n">
        <v>0</v>
      </c>
      <c r="M474" t="n">
        <v>0</v>
      </c>
      <c r="N474" t="n">
        <v>0</v>
      </c>
      <c r="O474" t="n">
        <v>0</v>
      </c>
      <c r="P474" t="n">
        <v>0</v>
      </c>
      <c r="Q474" t="n">
        <v>0</v>
      </c>
      <c r="R474" s="2" t="inlineStr"/>
    </row>
    <row r="475" ht="15" customHeight="1">
      <c r="A475" t="inlineStr">
        <is>
          <t>A 8606-2025</t>
        </is>
      </c>
      <c r="B475" s="1" t="n">
        <v>45710</v>
      </c>
      <c r="C475" s="1" t="n">
        <v>45733</v>
      </c>
      <c r="D475" t="inlineStr">
        <is>
          <t>VÄSTRA GÖTALANDS LÄN</t>
        </is>
      </c>
      <c r="E475" t="inlineStr">
        <is>
          <t>SKÖVDE</t>
        </is>
      </c>
      <c r="G475" t="n">
        <v>1.3</v>
      </c>
      <c r="H475" t="n">
        <v>0</v>
      </c>
      <c r="I475" t="n">
        <v>0</v>
      </c>
      <c r="J475" t="n">
        <v>0</v>
      </c>
      <c r="K475" t="n">
        <v>0</v>
      </c>
      <c r="L475" t="n">
        <v>0</v>
      </c>
      <c r="M475" t="n">
        <v>0</v>
      </c>
      <c r="N475" t="n">
        <v>0</v>
      </c>
      <c r="O475" t="n">
        <v>0</v>
      </c>
      <c r="P475" t="n">
        <v>0</v>
      </c>
      <c r="Q475" t="n">
        <v>0</v>
      </c>
      <c r="R475" s="2" t="inlineStr"/>
    </row>
    <row r="476" ht="15" customHeight="1">
      <c r="A476" t="inlineStr">
        <is>
          <t>A 9284-2025</t>
        </is>
      </c>
      <c r="B476" s="1" t="n">
        <v>45714</v>
      </c>
      <c r="C476" s="1" t="n">
        <v>45733</v>
      </c>
      <c r="D476" t="inlineStr">
        <is>
          <t>VÄSTRA GÖTALANDS LÄN</t>
        </is>
      </c>
      <c r="E476" t="inlineStr">
        <is>
          <t>SKÖVDE</t>
        </is>
      </c>
      <c r="F476" t="inlineStr">
        <is>
          <t>Kommuner</t>
        </is>
      </c>
      <c r="G476" t="n">
        <v>5</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45733</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45733</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9640-2025</t>
        </is>
      </c>
      <c r="B479" s="1" t="n">
        <v>45715</v>
      </c>
      <c r="C479" s="1" t="n">
        <v>45733</v>
      </c>
      <c r="D479" t="inlineStr">
        <is>
          <t>VÄSTRA GÖTALANDS LÄN</t>
        </is>
      </c>
      <c r="E479" t="inlineStr">
        <is>
          <t>SKÖVDE</t>
        </is>
      </c>
      <c r="G479" t="n">
        <v>0.9</v>
      </c>
      <c r="H479" t="n">
        <v>0</v>
      </c>
      <c r="I479" t="n">
        <v>0</v>
      </c>
      <c r="J479" t="n">
        <v>0</v>
      </c>
      <c r="K479" t="n">
        <v>0</v>
      </c>
      <c r="L479" t="n">
        <v>0</v>
      </c>
      <c r="M479" t="n">
        <v>0</v>
      </c>
      <c r="N479" t="n">
        <v>0</v>
      </c>
      <c r="O479" t="n">
        <v>0</v>
      </c>
      <c r="P479" t="n">
        <v>0</v>
      </c>
      <c r="Q479" t="n">
        <v>0</v>
      </c>
      <c r="R479" s="2" t="inlineStr"/>
    </row>
    <row r="480" ht="15" customHeight="1">
      <c r="A480" t="inlineStr">
        <is>
          <t>A 10560-2025</t>
        </is>
      </c>
      <c r="B480" s="1" t="n">
        <v>45721</v>
      </c>
      <c r="C480" s="1" t="n">
        <v>45733</v>
      </c>
      <c r="D480" t="inlineStr">
        <is>
          <t>VÄSTRA GÖTALANDS LÄN</t>
        </is>
      </c>
      <c r="E480" t="inlineStr">
        <is>
          <t>SKÖVDE</t>
        </is>
      </c>
      <c r="G480" t="n">
        <v>1.6</v>
      </c>
      <c r="H480" t="n">
        <v>0</v>
      </c>
      <c r="I480" t="n">
        <v>0</v>
      </c>
      <c r="J480" t="n">
        <v>0</v>
      </c>
      <c r="K480" t="n">
        <v>0</v>
      </c>
      <c r="L480" t="n">
        <v>0</v>
      </c>
      <c r="M480" t="n">
        <v>0</v>
      </c>
      <c r="N480" t="n">
        <v>0</v>
      </c>
      <c r="O480" t="n">
        <v>0</v>
      </c>
      <c r="P480" t="n">
        <v>0</v>
      </c>
      <c r="Q480" t="n">
        <v>0</v>
      </c>
      <c r="R480" s="2" t="inlineStr"/>
    </row>
    <row r="481">
      <c r="A481" t="inlineStr">
        <is>
          <t>A 10559-2025</t>
        </is>
      </c>
      <c r="B481" s="1" t="n">
        <v>45721</v>
      </c>
      <c r="C481" s="1" t="n">
        <v>45733</v>
      </c>
      <c r="D481" t="inlineStr">
        <is>
          <t>VÄSTRA GÖTALANDS LÄN</t>
        </is>
      </c>
      <c r="E481" t="inlineStr">
        <is>
          <t>SKÖVDE</t>
        </is>
      </c>
      <c r="G481" t="n">
        <v>1.4</v>
      </c>
      <c r="H481" t="n">
        <v>0</v>
      </c>
      <c r="I481" t="n">
        <v>0</v>
      </c>
      <c r="J481" t="n">
        <v>0</v>
      </c>
      <c r="K481" t="n">
        <v>0</v>
      </c>
      <c r="L481" t="n">
        <v>0</v>
      </c>
      <c r="M481" t="n">
        <v>0</v>
      </c>
      <c r="N481" t="n">
        <v>0</v>
      </c>
      <c r="O481" t="n">
        <v>0</v>
      </c>
      <c r="P481" t="n">
        <v>0</v>
      </c>
      <c r="Q481" t="n">
        <v>0</v>
      </c>
      <c r="R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2025-03-17T17:02:40Z</dcterms:created>
  <dcterms:modified xmlns:dcterms="http://purl.org/dc/terms/" xmlns:xsi="http://www.w3.org/2001/XMLSchema-instance" xsi:type="dcterms:W3CDTF">2025-03-17T17:02:40Z</dcterms:modified>
</cp:coreProperties>
</file>