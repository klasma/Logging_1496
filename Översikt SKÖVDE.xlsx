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46309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46309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46309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46309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46309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46309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46309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46309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46309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46309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46309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46309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46309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46309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46309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46309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46309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46309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46309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46309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46309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46309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46309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46309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46309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46309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46309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46309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46309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46309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46309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46309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46309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47869-2025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46309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Backmåra</t>
        </is>
      </c>
      <c r="W43">
        <f>HYPERLINK("https://klasma.github.io/Logging_1496/artfynd/A 47869-2025 artfynd.xlsx", "A 47869-2025")</f>
        <v/>
      </c>
      <c r="X43">
        <f>HYPERLINK("https://klasma.github.io/Logging_1496/kartor/A 47869-2025 karta.png", "A 47869-2025")</f>
        <v/>
      </c>
      <c r="Y43">
        <f>HYPERLINK("https://klasma.github.io/Logging_1496/kartor_geotiff/A 47869-2025 georefererad karta.tif", "A 47869-2025")</f>
        <v/>
      </c>
      <c r="AA43">
        <f>HYPERLINK("https://klasma.github.io/Logging_1496/klagomål/A 47869-2025 FSC-klagomål.docx", "A 47869-2025")</f>
        <v/>
      </c>
      <c r="AB43">
        <f>HYPERLINK("https://klasma.github.io/Logging_1496/klagomålsmail/A 47869-2025 FSC-klagomål mail.docx", "A 47869-2025")</f>
        <v/>
      </c>
      <c r="AC43">
        <f>HYPERLINK("https://klasma.github.io/Logging_1496/tillsyn/A 47869-2025 tillsynsbegäran.docx", "A 47869-2025")</f>
        <v/>
      </c>
      <c r="AD43">
        <f>HYPERLINK("https://klasma.github.io/Logging_1496/tillsynsmail/A 47869-2025 tillsynsbegäran mail.docx", "A 47869-2025")</f>
        <v/>
      </c>
    </row>
    <row r="44" ht="15" customHeight="1">
      <c r="A44" t="inlineStr">
        <is>
          <t>A 4464-2026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46045</v>
      </c>
      <c r="E44" s="1" t="n">
        <v>46309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Myskmadra</t>
        </is>
      </c>
      <c r="W44">
        <f>HYPERLINK("https://klasma.github.io/Logging_1496/artfynd/A 4464-2026 artfynd.xlsx", "A 4464-2026")</f>
        <v/>
      </c>
      <c r="X44">
        <f>HYPERLINK("https://klasma.github.io/Logging_1496/kartor/A 4464-2026 karta.png", "A 4464-2026")</f>
        <v/>
      </c>
      <c r="Y44">
        <f>HYPERLINK("https://klasma.github.io/Logging_1496/kartor_geotiff/A 4464-2026 georefererad karta.tif", "A 4464-2026")</f>
        <v/>
      </c>
      <c r="AA44">
        <f>HYPERLINK("https://klasma.github.io/Logging_1496/klagomål/A 4464-2026 FSC-klagomål.docx", "A 4464-2026")</f>
        <v/>
      </c>
      <c r="AB44">
        <f>HYPERLINK("https://klasma.github.io/Logging_1496/klagomålsmail/A 4464-2026 FSC-klagomål mail.docx", "A 4464-2026")</f>
        <v/>
      </c>
      <c r="AC44">
        <f>HYPERLINK("https://klasma.github.io/Logging_1496/tillsyn/A 4464-2026 tillsynsbegäran.docx", "A 4464-2026")</f>
        <v/>
      </c>
      <c r="AD44">
        <f>HYPERLINK("https://klasma.github.io/Logging_1496/tillsynsmail/A 4464-2026 tillsynsbegäran mail.docx", "A 4464-2026")</f>
        <v/>
      </c>
    </row>
    <row r="45" ht="15" customHeight="1">
      <c r="A45" t="inlineStr">
        <is>
          <t>A 6093-2026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46052</v>
      </c>
      <c r="E45" s="1" t="n">
        <v>46309</v>
      </c>
      <c r="F45" t="inlineStr">
        <is>
          <t>VÄSTRA GÖTALANDS LÄN</t>
        </is>
      </c>
      <c r="G45" t="inlineStr">
        <is>
          <t>SKÖVDE</t>
        </is>
      </c>
      <c r="I45" t="n">
        <v>5.8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Svinrot</t>
        </is>
      </c>
      <c r="W45">
        <f>HYPERLINK("https://klasma.github.io/Logging_1496/artfynd/A 6093-2026 artfynd.xlsx", "A 6093-2026")</f>
        <v/>
      </c>
      <c r="X45">
        <f>HYPERLINK("https://klasma.github.io/Logging_1496/kartor/A 6093-2026 karta.png", "A 6093-2026")</f>
        <v/>
      </c>
      <c r="Y45">
        <f>HYPERLINK("https://klasma.github.io/Logging_1496/kartor_geotiff/A 6093-2026 georefererad karta.tif", "A 6093-2026")</f>
        <v/>
      </c>
      <c r="AA45">
        <f>HYPERLINK("https://klasma.github.io/Logging_1496/klagomål/A 6093-2026 FSC-klagomål.docx", "A 6093-2026")</f>
        <v/>
      </c>
      <c r="AB45">
        <f>HYPERLINK("https://klasma.github.io/Logging_1496/klagomålsmail/A 6093-2026 FSC-klagomål mail.docx", "A 6093-2026")</f>
        <v/>
      </c>
      <c r="AC45">
        <f>HYPERLINK("https://klasma.github.io/Logging_1496/tillsyn/A 6093-2026 tillsynsbegäran.docx", "A 6093-2026")</f>
        <v/>
      </c>
      <c r="AD45">
        <f>HYPERLINK("https://klasma.github.io/Logging_1496/tillsynsmail/A 6093-2026 tillsynsbegäran mail.docx", "A 6093-2026")</f>
        <v/>
      </c>
    </row>
    <row r="46" ht="15" customHeight="1">
      <c r="A46" t="inlineStr">
        <is>
          <t>A 61213-2024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46309</v>
      </c>
      <c r="F46" t="inlineStr">
        <is>
          <t>VÄSTRA GÖTALANDS LÄN</t>
        </is>
      </c>
      <c r="G46" t="inlineStr">
        <is>
          <t>SKÖVDE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61213-2024 artfynd.xlsx", "A 61213-2024")</f>
        <v/>
      </c>
      <c r="X46">
        <f>HYPERLINK("https://klasma.github.io/Logging_1496/kartor/A 61213-2024 karta.png", "A 61213-2024")</f>
        <v/>
      </c>
      <c r="Y46">
        <f>HYPERLINK("https://klasma.github.io/Logging_1496/kartor_geotiff/A 61213-2024 georefererad karta.tif", "A 61213-2024")</f>
        <v/>
      </c>
      <c r="AA46">
        <f>HYPERLINK("https://klasma.github.io/Logging_1496/klagomål/A 61213-2024 FSC-klagomål.docx", "A 61213-2024")</f>
        <v/>
      </c>
      <c r="AB46">
        <f>HYPERLINK("https://klasma.github.io/Logging_1496/klagomålsmail/A 61213-2024 FSC-klagomål mail.docx", "A 61213-2024")</f>
        <v/>
      </c>
      <c r="AC46">
        <f>HYPERLINK("https://klasma.github.io/Logging_1496/tillsyn/A 61213-2024 tillsynsbegäran.docx", "A 61213-2024")</f>
        <v/>
      </c>
      <c r="AD46">
        <f>HYPERLINK("https://klasma.github.io/Logging_1496/tillsynsmail/A 61213-2024 tillsynsbegäran mail.docx", "A 61213-2024")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46309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29011-2023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46309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5.4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29011-2023 artfynd.xlsx", "A 29011-2023")</f>
        <v/>
      </c>
      <c r="X48">
        <f>HYPERLINK("https://klasma.github.io/Logging_1496/kartor/A 29011-2023 karta.png", "A 29011-2023")</f>
        <v/>
      </c>
      <c r="Y48">
        <f>HYPERLINK("https://klasma.github.io/Logging_1496/kartor_geotiff/A 29011-2023 georefererad karta.tif", "A 29011-2023")</f>
        <v/>
      </c>
      <c r="AA48">
        <f>HYPERLINK("https://klasma.github.io/Logging_1496/klagomål/A 29011-2023 FSC-klagomål.docx", "A 29011-2023")</f>
        <v/>
      </c>
      <c r="AB48">
        <f>HYPERLINK("https://klasma.github.io/Logging_1496/klagomålsmail/A 29011-2023 FSC-klagomål mail.docx", "A 29011-2023")</f>
        <v/>
      </c>
      <c r="AC48">
        <f>HYPERLINK("https://klasma.github.io/Logging_1496/tillsyn/A 29011-2023 tillsynsbegäran.docx", "A 29011-2023")</f>
        <v/>
      </c>
      <c r="AD48">
        <f>HYPERLINK("https://klasma.github.io/Logging_1496/tillsynsmail/A 29011-2023 tillsynsbegäran mail.docx", "A 29011-2023")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46309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10602-2023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46309</v>
      </c>
      <c r="F50" t="inlineStr">
        <is>
          <t>VÄSTRA GÖTALANDS LÄN</t>
        </is>
      </c>
      <c r="G50" t="inlineStr">
        <is>
          <t>SKÖVDE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10602-2023 artfynd.xlsx", "A 10602-2023")</f>
        <v/>
      </c>
      <c r="X50">
        <f>HYPERLINK("https://klasma.github.io/Logging_1496/kartor/A 10602-2023 karta.png", "A 10602-2023")</f>
        <v/>
      </c>
      <c r="Y50">
        <f>HYPERLINK("https://klasma.github.io/Logging_1496/kartor_geotiff/A 10602-2023 georefererad karta.tif", "A 10602-2023")</f>
        <v/>
      </c>
      <c r="AA50">
        <f>HYPERLINK("https://klasma.github.io/Logging_1496/klagomål/A 10602-2023 FSC-klagomål.docx", "A 10602-2023")</f>
        <v/>
      </c>
      <c r="AB50">
        <f>HYPERLINK("https://klasma.github.io/Logging_1496/klagomålsmail/A 10602-2023 FSC-klagomål mail.docx", "A 10602-2023")</f>
        <v/>
      </c>
      <c r="AC50">
        <f>HYPERLINK("https://klasma.github.io/Logging_1496/tillsyn/A 10602-2023 tillsynsbegäran.docx", "A 10602-2023")</f>
        <v/>
      </c>
      <c r="AD50">
        <f>HYPERLINK("https://klasma.github.io/Logging_1496/tillsynsmail/A 10602-2023 tillsynsbegäran mail.docx", "A 10602-2023")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46309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46309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46309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46309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17452-2023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46309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HYPERLINK("https://klasma.github.io/Logging_1496/artfynd/A 17452-2023 artfynd.xlsx", "A 17452-2023")</f>
        <v/>
      </c>
      <c r="X55">
        <f>HYPERLINK("https://klasma.github.io/Logging_1496/kartor/A 17452-2023 karta.png", "A 17452-2023")</f>
        <v/>
      </c>
      <c r="Y55">
        <f>HYPERLINK("https://klasma.github.io/Logging_1496/kartor_geotiff/A 17452-2023 georefererad karta.tif", "A 17452-2023")</f>
        <v/>
      </c>
      <c r="AA55">
        <f>HYPERLINK("https://klasma.github.io/Logging_1496/klagomål/A 17452-2023 FSC-klagomål.docx", "A 17452-2023")</f>
        <v/>
      </c>
      <c r="AB55">
        <f>HYPERLINK("https://klasma.github.io/Logging_1496/klagomålsmail/A 17452-2023 FSC-klagomål mail.docx", "A 17452-2023")</f>
        <v/>
      </c>
      <c r="AC55">
        <f>HYPERLINK("https://klasma.github.io/Logging_1496/tillsyn/A 17452-2023 tillsynsbegäran.docx", "A 17452-2023")</f>
        <v/>
      </c>
      <c r="AD55">
        <f>HYPERLINK("https://klasma.github.io/Logging_1496/tillsynsmail/A 17452-2023 tillsynsbegäran mail.docx", "A 17452-2023")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46309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46309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35919-2023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46309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Svinrot</t>
        </is>
      </c>
      <c r="W58">
        <f>HYPERLINK("https://klasma.github.io/Logging_1496/artfynd/A 35919-2023 artfynd.xlsx", "A 35919-2023")</f>
        <v/>
      </c>
      <c r="X58">
        <f>HYPERLINK("https://klasma.github.io/Logging_1496/kartor/A 35919-2023 karta.png", "A 35919-2023")</f>
        <v/>
      </c>
      <c r="Y58">
        <f>HYPERLINK("https://klasma.github.io/Logging_1496/kartor_geotiff/A 35919-2023 georefererad karta.tif", "A 35919-2023")</f>
        <v/>
      </c>
      <c r="AA58">
        <f>HYPERLINK("https://klasma.github.io/Logging_1496/klagomål/A 35919-2023 FSC-klagomål.docx", "A 35919-2023")</f>
        <v/>
      </c>
      <c r="AB58">
        <f>HYPERLINK("https://klasma.github.io/Logging_1496/klagomålsmail/A 35919-2023 FSC-klagomål mail.docx", "A 35919-2023")</f>
        <v/>
      </c>
      <c r="AC58">
        <f>HYPERLINK("https://klasma.github.io/Logging_1496/tillsyn/A 35919-2023 tillsynsbegäran.docx", "A 35919-2023")</f>
        <v/>
      </c>
      <c r="AD58">
        <f>HYPERLINK("https://klasma.github.io/Logging_1496/tillsynsmail/A 35919-2023 tillsynsbegäran mail.docx", "A 35919-2023")</f>
        <v/>
      </c>
    </row>
    <row r="59" ht="15" customHeight="1">
      <c r="A59" t="inlineStr">
        <is>
          <t>A 42904-2023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46309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HYPERLINK("https://klasma.github.io/Logging_1496/artfynd/A 42904-2023 artfynd.xlsx", "A 42904-2023")</f>
        <v/>
      </c>
      <c r="X59">
        <f>HYPERLINK("https://klasma.github.io/Logging_1496/kartor/A 42904-2023 karta.png", "A 42904-2023")</f>
        <v/>
      </c>
      <c r="Y59">
        <f>HYPERLINK("https://klasma.github.io/Logging_1496/kartor_geotiff/A 42904-2023 georefererad karta.tif", "A 42904-2023")</f>
        <v/>
      </c>
      <c r="AA59">
        <f>HYPERLINK("https://klasma.github.io/Logging_1496/klagomål/A 42904-2023 FSC-klagomål.docx", "A 42904-2023")</f>
        <v/>
      </c>
      <c r="AB59">
        <f>HYPERLINK("https://klasma.github.io/Logging_1496/klagomålsmail/A 42904-2023 FSC-klagomål mail.docx", "A 42904-2023")</f>
        <v/>
      </c>
      <c r="AC59">
        <f>HYPERLINK("https://klasma.github.io/Logging_1496/tillsyn/A 42904-2023 tillsynsbegäran.docx", "A 42904-2023")</f>
        <v/>
      </c>
      <c r="AD59">
        <f>HYPERLINK("https://klasma.github.io/Logging_1496/tillsynsmail/A 42904-2023 tillsynsbegäran mail.docx", "A 42904-2023")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46309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46309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46309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46309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46309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46309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46309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46309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46309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46309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46309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46309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46309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46309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46309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46309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46309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46309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46309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46309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46309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46309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46309</v>
      </c>
      <c r="F84" t="inlineStr">
        <is>
          <t>VÄSTRA GÖTALANDS LÄN</t>
        </is>
      </c>
      <c r="G84" t="inlineStr">
        <is>
          <t>SKÖVDE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46309</v>
      </c>
      <c r="F85" t="inlineStr">
        <is>
          <t>VÄSTRA GÖTALANDS LÄN</t>
        </is>
      </c>
      <c r="G85" t="inlineStr">
        <is>
          <t>SKÖVDE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44862</v>
      </c>
      <c r="E86" s="1" t="n">
        <v>46309</v>
      </c>
      <c r="F86" t="inlineStr">
        <is>
          <t>VÄSTRA GÖTALANDS LÄN</t>
        </is>
      </c>
      <c r="G86" t="inlineStr">
        <is>
          <t>SKÖVDE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34211-2023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45138</v>
      </c>
      <c r="E87" s="1" t="n">
        <v>46309</v>
      </c>
      <c r="F87" t="inlineStr">
        <is>
          <t>VÄSTRA GÖTALANDS LÄN</t>
        </is>
      </c>
      <c r="G87" t="inlineStr">
        <is>
          <t>SKÖVDE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45299</v>
      </c>
      <c r="E88" s="1" t="n">
        <v>46309</v>
      </c>
      <c r="F88" t="inlineStr">
        <is>
          <t>VÄSTRA GÖTALANDS LÄN</t>
        </is>
      </c>
      <c r="G88" t="inlineStr">
        <is>
          <t>SKÖVDE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45301</v>
      </c>
      <c r="E89" s="1" t="n">
        <v>46309</v>
      </c>
      <c r="F89" t="inlineStr">
        <is>
          <t>VÄSTRA GÖTALANDS LÄN</t>
        </is>
      </c>
      <c r="G89" t="inlineStr">
        <is>
          <t>SKÖVDE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46309</v>
      </c>
      <c r="F90" t="inlineStr">
        <is>
          <t>VÄSTRA GÖTALANDS LÄN</t>
        </is>
      </c>
      <c r="G90" t="inlineStr">
        <is>
          <t>SKÖVDE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46309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46309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45792</v>
      </c>
      <c r="E93" s="1" t="n">
        <v>46309</v>
      </c>
      <c r="F93" t="inlineStr">
        <is>
          <t>VÄSTRA GÖTALANDS LÄN</t>
        </is>
      </c>
      <c r="G93" t="inlineStr">
        <is>
          <t>SKÖVDE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45710</v>
      </c>
      <c r="E94" s="1" t="n">
        <v>46309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46309</v>
      </c>
      <c r="F95" t="inlineStr">
        <is>
          <t>VÄSTRA GÖTALANDS LÄN</t>
        </is>
      </c>
      <c r="G95" t="inlineStr">
        <is>
          <t>SKÖVDE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45715</v>
      </c>
      <c r="E96" s="1" t="n">
        <v>46309</v>
      </c>
      <c r="F96" t="inlineStr">
        <is>
          <t>VÄSTRA GÖTALANDS LÄN</t>
        </is>
      </c>
      <c r="G96" t="inlineStr">
        <is>
          <t>SKÖVDE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46017</v>
      </c>
      <c r="E97" s="1" t="n">
        <v>46309</v>
      </c>
      <c r="F97" t="inlineStr">
        <is>
          <t>VÄSTRA GÖTALANDS LÄN</t>
        </is>
      </c>
      <c r="G97" t="inlineStr">
        <is>
          <t>SKÖVDE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46309</v>
      </c>
      <c r="F98" t="inlineStr">
        <is>
          <t>VÄSTRA GÖTALANDS LÄN</t>
        </is>
      </c>
      <c r="G98" t="inlineStr">
        <is>
          <t>SKÖVDE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46309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Kyrkan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46309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46309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46309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46309</v>
      </c>
      <c r="F103" t="inlineStr">
        <is>
          <t>VÄSTRA GÖTALANDS LÄN</t>
        </is>
      </c>
      <c r="G103" t="inlineStr">
        <is>
          <t>SKÖVDE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46309</v>
      </c>
      <c r="F104" t="inlineStr">
        <is>
          <t>VÄSTRA GÖTALANDS LÄN</t>
        </is>
      </c>
      <c r="G104" t="inlineStr">
        <is>
          <t>SKÖVDE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46309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46309</v>
      </c>
      <c r="F106" t="inlineStr">
        <is>
          <t>VÄSTRA GÖTALANDS LÄN</t>
        </is>
      </c>
      <c r="G106" t="inlineStr">
        <is>
          <t>SKÖVDE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46309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46309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46309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46309</v>
      </c>
      <c r="F110" t="inlineStr">
        <is>
          <t>VÄSTRA GÖTALANDS LÄN</t>
        </is>
      </c>
      <c r="G110" t="inlineStr">
        <is>
          <t>SKÖVDE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46309</v>
      </c>
      <c r="F111" t="inlineStr">
        <is>
          <t>VÄSTRA GÖTALANDS LÄN</t>
        </is>
      </c>
      <c r="G111" t="inlineStr">
        <is>
          <t>SKÖVDE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25639-2025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45800</v>
      </c>
      <c r="E112" s="1" t="n">
        <v>46309</v>
      </c>
      <c r="F112" t="inlineStr">
        <is>
          <t>VÄSTRA GÖTALANDS LÄN</t>
        </is>
      </c>
      <c r="G112" t="inlineStr">
        <is>
          <t>SKÖVDE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46309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25642-2025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45803</v>
      </c>
      <c r="E114" s="1" t="n">
        <v>46309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46309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46309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46309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46309</v>
      </c>
      <c r="F118" t="inlineStr">
        <is>
          <t>VÄSTRA GÖTALANDS LÄN</t>
        </is>
      </c>
      <c r="G118" t="inlineStr">
        <is>
          <t>SKÖVDE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46309</v>
      </c>
      <c r="F119" t="inlineStr">
        <is>
          <t>VÄSTRA GÖTALANDS LÄN</t>
        </is>
      </c>
      <c r="G119" t="inlineStr">
        <is>
          <t>SKÖVDE</t>
        </is>
      </c>
      <c r="I119" t="n">
        <v>11.7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46309</v>
      </c>
      <c r="F120" t="inlineStr">
        <is>
          <t>VÄSTRA GÖTALANDS LÄN</t>
        </is>
      </c>
      <c r="G120" t="inlineStr">
        <is>
          <t>SKÖVDE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46309</v>
      </c>
      <c r="F121" t="inlineStr">
        <is>
          <t>VÄSTRA GÖTALANDS LÄN</t>
        </is>
      </c>
      <c r="G121" t="inlineStr">
        <is>
          <t>SKÖVDE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46309</v>
      </c>
      <c r="F122" t="inlineStr">
        <is>
          <t>VÄSTRA GÖTALANDS LÄN</t>
        </is>
      </c>
      <c r="G122" t="inlineStr">
        <is>
          <t>SKÖVDE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46309</v>
      </c>
      <c r="F123" t="inlineStr">
        <is>
          <t>VÄSTRA GÖTALANDS LÄN</t>
        </is>
      </c>
      <c r="G123" t="inlineStr">
        <is>
          <t>SKÖVDE</t>
        </is>
      </c>
      <c r="I123" t="n">
        <v>12.3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46309</v>
      </c>
      <c r="F124" t="inlineStr">
        <is>
          <t>VÄSTRA GÖTALANDS LÄN</t>
        </is>
      </c>
      <c r="G124" t="inlineStr">
        <is>
          <t>SKÖVDE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46309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46309</v>
      </c>
      <c r="F126" t="inlineStr">
        <is>
          <t>VÄSTRA GÖTALANDS LÄN</t>
        </is>
      </c>
      <c r="G126" t="inlineStr">
        <is>
          <t>SKÖVDE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46309</v>
      </c>
      <c r="F127" t="inlineStr">
        <is>
          <t>VÄSTRA GÖTALANDS LÄN</t>
        </is>
      </c>
      <c r="G127" t="inlineStr">
        <is>
          <t>SKÖVDE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46309</v>
      </c>
      <c r="F128" t="inlineStr">
        <is>
          <t>VÄSTRA GÖTALANDS LÄN</t>
        </is>
      </c>
      <c r="G128" t="inlineStr">
        <is>
          <t>SKÖVDE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46309</v>
      </c>
      <c r="F129" t="inlineStr">
        <is>
          <t>VÄSTRA GÖTALANDS LÄN</t>
        </is>
      </c>
      <c r="G129" t="inlineStr">
        <is>
          <t>SKÖVDE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46309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46309</v>
      </c>
      <c r="F131" t="inlineStr">
        <is>
          <t>VÄSTRA GÖTALANDS LÄN</t>
        </is>
      </c>
      <c r="G131" t="inlineStr">
        <is>
          <t>SKÖVDE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46309</v>
      </c>
      <c r="F132" t="inlineStr">
        <is>
          <t>VÄSTRA GÖTALANDS LÄN</t>
        </is>
      </c>
      <c r="G132" t="inlineStr">
        <is>
          <t>SKÖVDE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46309</v>
      </c>
      <c r="F133" t="inlineStr">
        <is>
          <t>VÄSTRA GÖTALANDS LÄN</t>
        </is>
      </c>
      <c r="G133" t="inlineStr">
        <is>
          <t>SKÖVDE</t>
        </is>
      </c>
      <c r="I133" t="n">
        <v>11.8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46309</v>
      </c>
      <c r="F134" t="inlineStr">
        <is>
          <t>VÄSTRA GÖTALANDS LÄN</t>
        </is>
      </c>
      <c r="G134" t="inlineStr">
        <is>
          <t>SKÖVDE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46309</v>
      </c>
      <c r="F135" t="inlineStr">
        <is>
          <t>VÄSTRA GÖTALANDS LÄN</t>
        </is>
      </c>
      <c r="G135" t="inlineStr">
        <is>
          <t>SKÖVDE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46309</v>
      </c>
      <c r="F136" t="inlineStr">
        <is>
          <t>VÄSTRA GÖTALANDS LÄN</t>
        </is>
      </c>
      <c r="G136" t="inlineStr">
        <is>
          <t>SKÖVDE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46309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46309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46309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46309</v>
      </c>
      <c r="F140" t="inlineStr">
        <is>
          <t>VÄSTRA GÖTALANDS LÄN</t>
        </is>
      </c>
      <c r="G140" t="inlineStr">
        <is>
          <t>SKÖVDE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46309</v>
      </c>
      <c r="F141" t="inlineStr">
        <is>
          <t>VÄSTRA GÖTALANDS LÄN</t>
        </is>
      </c>
      <c r="G141" t="inlineStr">
        <is>
          <t>SKÖVDE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46309</v>
      </c>
      <c r="F142" t="inlineStr">
        <is>
          <t>VÄSTRA GÖTALANDS LÄN</t>
        </is>
      </c>
      <c r="G142" t="inlineStr">
        <is>
          <t>SKÖVDE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45846</v>
      </c>
      <c r="E143" s="1" t="n">
        <v>46309</v>
      </c>
      <c r="F143" t="inlineStr">
        <is>
          <t>VÄSTRA GÖTALANDS LÄN</t>
        </is>
      </c>
      <c r="G143" t="inlineStr">
        <is>
          <t>SKÖVDE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46309</v>
      </c>
      <c r="F144" t="inlineStr">
        <is>
          <t>VÄSTRA GÖTALANDS LÄN</t>
        </is>
      </c>
      <c r="G144" t="inlineStr">
        <is>
          <t>SKÖVDE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46309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46309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Kyrkan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46309</v>
      </c>
      <c r="F147" t="inlineStr">
        <is>
          <t>VÄSTRA GÖTALANDS LÄN</t>
        </is>
      </c>
      <c r="G147" t="inlineStr">
        <is>
          <t>SKÖVDE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46309</v>
      </c>
      <c r="F148" t="inlineStr">
        <is>
          <t>VÄSTRA GÖTALANDS LÄN</t>
        </is>
      </c>
      <c r="G148" t="inlineStr">
        <is>
          <t>SKÖVDE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46309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46309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46309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45439</v>
      </c>
      <c r="E152" s="1" t="n">
        <v>46309</v>
      </c>
      <c r="F152" t="inlineStr">
        <is>
          <t>VÄSTRA GÖTALANDS LÄN</t>
        </is>
      </c>
      <c r="G152" t="inlineStr">
        <is>
          <t>SKÖVDE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46309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44750</v>
      </c>
      <c r="E154" s="1" t="n">
        <v>46309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48225-2024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46309</v>
      </c>
      <c r="F155" t="inlineStr">
        <is>
          <t>VÄSTRA GÖTALANDS LÄN</t>
        </is>
      </c>
      <c r="G155" t="inlineStr">
        <is>
          <t>SKÖVDE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46052</v>
      </c>
      <c r="E156" s="1" t="n">
        <v>46309</v>
      </c>
      <c r="F156" t="inlineStr">
        <is>
          <t>VÄSTRA GÖTALANDS LÄN</t>
        </is>
      </c>
      <c r="G156" t="inlineStr">
        <is>
          <t>SKÖVDE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46309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46309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46309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46009</v>
      </c>
      <c r="E160" s="1" t="n">
        <v>46309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Övriga statliga verk och myndigheter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46309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Övriga statliga verk och myndigheter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46309</v>
      </c>
      <c r="F162" t="inlineStr">
        <is>
          <t>VÄSTRA GÖTALANDS LÄN</t>
        </is>
      </c>
      <c r="G162" t="inlineStr">
        <is>
          <t>SKÖVDE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46309</v>
      </c>
      <c r="F163" t="inlineStr">
        <is>
          <t>VÄSTRA GÖTALANDS LÄN</t>
        </is>
      </c>
      <c r="G163" t="inlineStr">
        <is>
          <t>SKÖVDE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46309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46309</v>
      </c>
      <c r="F165" t="inlineStr">
        <is>
          <t>VÄSTRA GÖTALANDS LÄN</t>
        </is>
      </c>
      <c r="G165" t="inlineStr">
        <is>
          <t>SKÖVDE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46309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46309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46309</v>
      </c>
      <c r="F168" t="inlineStr">
        <is>
          <t>VÄSTRA GÖTALANDS LÄN</t>
        </is>
      </c>
      <c r="G168" t="inlineStr">
        <is>
          <t>SKÖVDE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46309</v>
      </c>
      <c r="F169" t="inlineStr">
        <is>
          <t>VÄSTRA GÖTALANDS LÄN</t>
        </is>
      </c>
      <c r="G169" t="inlineStr">
        <is>
          <t>SKÖVDE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46309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13669-2023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45006</v>
      </c>
      <c r="E171" s="1" t="n">
        <v>46309</v>
      </c>
      <c r="F171" t="inlineStr">
        <is>
          <t>VÄSTRA GÖTALANDS LÄN</t>
        </is>
      </c>
      <c r="G171" t="inlineStr">
        <is>
          <t>SKÖVDE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46309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46309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46309</v>
      </c>
      <c r="F174" t="inlineStr">
        <is>
          <t>VÄSTRA GÖTALANDS LÄN</t>
        </is>
      </c>
      <c r="G174" t="inlineStr">
        <is>
          <t>SKÖVDE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46309</v>
      </c>
      <c r="F175" t="inlineStr">
        <is>
          <t>VÄSTRA GÖTALANDS LÄN</t>
        </is>
      </c>
      <c r="G175" t="inlineStr">
        <is>
          <t>SKÖVDE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46309</v>
      </c>
      <c r="F176" t="inlineStr">
        <is>
          <t>VÄSTRA GÖTALANDS LÄN</t>
        </is>
      </c>
      <c r="G176" t="inlineStr">
        <is>
          <t>SKÖVDE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46309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13178-2023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45002</v>
      </c>
      <c r="E178" s="1" t="n">
        <v>46309</v>
      </c>
      <c r="F178" t="inlineStr">
        <is>
          <t>VÄSTRA GÖTALANDS LÄN</t>
        </is>
      </c>
      <c r="G178" t="inlineStr">
        <is>
          <t>SKÖVDE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46309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46309</v>
      </c>
      <c r="F180" t="inlineStr">
        <is>
          <t>VÄSTRA GÖTALANDS LÄN</t>
        </is>
      </c>
      <c r="G180" t="inlineStr">
        <is>
          <t>SKÖVDE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45590</v>
      </c>
      <c r="E181" s="1" t="n">
        <v>46309</v>
      </c>
      <c r="F181" t="inlineStr">
        <is>
          <t>VÄSTRA GÖTALANDS LÄN</t>
        </is>
      </c>
      <c r="G181" t="inlineStr">
        <is>
          <t>SKÖVDE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46309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46309</v>
      </c>
      <c r="F183" t="inlineStr">
        <is>
          <t>VÄSTRA GÖTALANDS LÄN</t>
        </is>
      </c>
      <c r="G183" t="inlineStr">
        <is>
          <t>SKÖVDE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46309</v>
      </c>
      <c r="F184" t="inlineStr">
        <is>
          <t>VÄSTRA GÖTALANDS LÄN</t>
        </is>
      </c>
      <c r="G184" t="inlineStr">
        <is>
          <t>SKÖVDE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14281-2026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46309</v>
      </c>
      <c r="F185" t="inlineStr">
        <is>
          <t>VÄSTRA GÖTALANDS LÄN</t>
        </is>
      </c>
      <c r="G185" t="inlineStr">
        <is>
          <t>SKÖVDE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46309</v>
      </c>
      <c r="F186" t="inlineStr">
        <is>
          <t>VÄSTRA GÖTALANDS LÄN</t>
        </is>
      </c>
      <c r="G186" t="inlineStr">
        <is>
          <t>SKÖVDE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26699-2022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46309</v>
      </c>
      <c r="F187" t="inlineStr">
        <is>
          <t>VÄSTRA GÖTALANDS LÄN</t>
        </is>
      </c>
      <c r="G187" t="inlineStr">
        <is>
          <t>SKÖVDE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46309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46309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46309</v>
      </c>
      <c r="F190" t="inlineStr">
        <is>
          <t>VÄSTRA GÖTALANDS LÄN</t>
        </is>
      </c>
      <c r="G190" t="inlineStr">
        <is>
          <t>SKÖVDE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46309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45847</v>
      </c>
      <c r="E192" s="1" t="n">
        <v>46309</v>
      </c>
      <c r="F192" t="inlineStr">
        <is>
          <t>VÄSTRA GÖTALANDS LÄN</t>
        </is>
      </c>
      <c r="G192" t="inlineStr">
        <is>
          <t>SKÖVDE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46309</v>
      </c>
      <c r="F193" t="inlineStr">
        <is>
          <t>VÄSTRA GÖTALANDS LÄN</t>
        </is>
      </c>
      <c r="G193" t="inlineStr">
        <is>
          <t>SKÖVDE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45693</v>
      </c>
      <c r="E194" s="1" t="n">
        <v>46309</v>
      </c>
      <c r="F194" t="inlineStr">
        <is>
          <t>VÄSTRA GÖTALANDS LÄN</t>
        </is>
      </c>
      <c r="G194" t="inlineStr">
        <is>
          <t>SKÖVDE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45093</v>
      </c>
      <c r="E195" s="1" t="n">
        <v>46309</v>
      </c>
      <c r="F195" t="inlineStr">
        <is>
          <t>VÄSTRA GÖTALANDS LÄN</t>
        </is>
      </c>
      <c r="G195" t="inlineStr">
        <is>
          <t>SKÖVDE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46309</v>
      </c>
      <c r="F196" t="inlineStr">
        <is>
          <t>VÄSTRA GÖTALANDS LÄN</t>
        </is>
      </c>
      <c r="G196" t="inlineStr">
        <is>
          <t>SKÖVDE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17798-2024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45418</v>
      </c>
      <c r="E197" s="1" t="n">
        <v>46309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46309</v>
      </c>
      <c r="F198" t="inlineStr">
        <is>
          <t>VÄSTRA GÖTALANDS LÄN</t>
        </is>
      </c>
      <c r="G198" t="inlineStr">
        <is>
          <t>SKÖVDE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45693</v>
      </c>
      <c r="E199" s="1" t="n">
        <v>46309</v>
      </c>
      <c r="F199" t="inlineStr">
        <is>
          <t>VÄSTRA GÖTALANDS LÄN</t>
        </is>
      </c>
      <c r="G199" t="inlineStr">
        <is>
          <t>SKÖVDE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46309</v>
      </c>
      <c r="F200" t="inlineStr">
        <is>
          <t>VÄSTRA GÖTALANDS LÄN</t>
        </is>
      </c>
      <c r="G200" t="inlineStr">
        <is>
          <t>SKÖVDE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46309</v>
      </c>
      <c r="F201" t="inlineStr">
        <is>
          <t>VÄSTRA GÖTALANDS LÄN</t>
        </is>
      </c>
      <c r="G201" t="inlineStr">
        <is>
          <t>SKÖVDE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46309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46309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46309</v>
      </c>
      <c r="F204" t="inlineStr">
        <is>
          <t>VÄSTRA GÖTALANDS LÄN</t>
        </is>
      </c>
      <c r="G204" t="inlineStr">
        <is>
          <t>SKÖVDE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45560</v>
      </c>
      <c r="E205" s="1" t="n">
        <v>46309</v>
      </c>
      <c r="F205" t="inlineStr">
        <is>
          <t>VÄSTRA GÖTALANDS LÄN</t>
        </is>
      </c>
      <c r="G205" t="inlineStr">
        <is>
          <t>SKÖVDE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46309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46309</v>
      </c>
      <c r="F207" t="inlineStr">
        <is>
          <t>VÄSTRA GÖTALANDS LÄN</t>
        </is>
      </c>
      <c r="G207" t="inlineStr">
        <is>
          <t>SKÖVDE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46309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46309</v>
      </c>
      <c r="F209" t="inlineStr">
        <is>
          <t>VÄSTRA GÖTALANDS LÄN</t>
        </is>
      </c>
      <c r="G209" t="inlineStr">
        <is>
          <t>SKÖVDE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2901-2026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46038</v>
      </c>
      <c r="E210" s="1" t="n">
        <v>46309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46309</v>
      </c>
      <c r="F211" t="inlineStr">
        <is>
          <t>VÄSTRA GÖTALANDS LÄN</t>
        </is>
      </c>
      <c r="G211" t="inlineStr">
        <is>
          <t>SKÖVDE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46309</v>
      </c>
      <c r="F212" t="inlineStr">
        <is>
          <t>VÄSTRA GÖTALANDS LÄN</t>
        </is>
      </c>
      <c r="G212" t="inlineStr">
        <is>
          <t>SKÖVDE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46309</v>
      </c>
      <c r="F213" t="inlineStr">
        <is>
          <t>VÄSTRA GÖTALANDS LÄN</t>
        </is>
      </c>
      <c r="G213" t="inlineStr">
        <is>
          <t>SKÖVDE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46309</v>
      </c>
      <c r="F214" t="inlineStr">
        <is>
          <t>VÄSTRA GÖTALANDS LÄN</t>
        </is>
      </c>
      <c r="G214" t="inlineStr">
        <is>
          <t>SKÖVDE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46309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46309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46309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26914-2026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46185</v>
      </c>
      <c r="E218" s="1" t="n">
        <v>46309</v>
      </c>
      <c r="F218" t="inlineStr">
        <is>
          <t>VÄSTRA GÖTALANDS LÄN</t>
        </is>
      </c>
      <c r="G218" t="inlineStr">
        <is>
          <t>SKÖVDE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46309</v>
      </c>
      <c r="F219" t="inlineStr">
        <is>
          <t>VÄSTRA GÖTALANDS LÄN</t>
        </is>
      </c>
      <c r="G219" t="inlineStr">
        <is>
          <t>SKÖVDE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46309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46309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46309</v>
      </c>
      <c r="F222" t="inlineStr">
        <is>
          <t>VÄSTRA GÖTALANDS LÄN</t>
        </is>
      </c>
      <c r="G222" t="inlineStr">
        <is>
          <t>SKÖVDE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44586</v>
      </c>
      <c r="E223" s="1" t="n">
        <v>46309</v>
      </c>
      <c r="F223" t="inlineStr">
        <is>
          <t>VÄSTRA GÖTALANDS LÄN</t>
        </is>
      </c>
      <c r="G223" t="inlineStr">
        <is>
          <t>SKÖVDE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46309</v>
      </c>
      <c r="F224" t="inlineStr">
        <is>
          <t>VÄSTRA GÖTALANDS LÄN</t>
        </is>
      </c>
      <c r="G224" t="inlineStr">
        <is>
          <t>SKÖVDE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46309</v>
      </c>
      <c r="F225" t="inlineStr">
        <is>
          <t>VÄSTRA GÖTALANDS LÄN</t>
        </is>
      </c>
      <c r="G225" t="inlineStr">
        <is>
          <t>SKÖVDE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46309</v>
      </c>
      <c r="F226" t="inlineStr">
        <is>
          <t>VÄSTRA GÖTALANDS LÄN</t>
        </is>
      </c>
      <c r="G226" t="inlineStr">
        <is>
          <t>SKÖVDE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46202</v>
      </c>
      <c r="E227" s="1" t="n">
        <v>46309</v>
      </c>
      <c r="F227" t="inlineStr">
        <is>
          <t>VÄSTRA GÖTALANDS LÄN</t>
        </is>
      </c>
      <c r="G227" t="inlineStr">
        <is>
          <t>SKÖVDE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46309</v>
      </c>
      <c r="F228" t="inlineStr">
        <is>
          <t>VÄSTRA GÖTALANDS LÄN</t>
        </is>
      </c>
      <c r="G228" t="inlineStr">
        <is>
          <t>SKÖVDE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46309</v>
      </c>
      <c r="F229" t="inlineStr">
        <is>
          <t>VÄSTRA GÖTALANDS LÄN</t>
        </is>
      </c>
      <c r="G229" t="inlineStr">
        <is>
          <t>SKÖVDE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46309</v>
      </c>
      <c r="F230" t="inlineStr">
        <is>
          <t>VÄSTRA GÖTALANDS LÄN</t>
        </is>
      </c>
      <c r="G230" t="inlineStr">
        <is>
          <t>SKÖVDE</t>
        </is>
      </c>
      <c r="H230" t="inlineStr">
        <is>
          <t>Kommuner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46309</v>
      </c>
      <c r="F231" t="inlineStr">
        <is>
          <t>VÄSTRA GÖTALANDS LÄN</t>
        </is>
      </c>
      <c r="G231" t="inlineStr">
        <is>
          <t>SKÖVDE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46309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46309</v>
      </c>
      <c r="F233" t="inlineStr">
        <is>
          <t>VÄSTRA GÖTALANDS LÄN</t>
        </is>
      </c>
      <c r="G233" t="inlineStr">
        <is>
          <t>SKÖVDE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46309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46272</v>
      </c>
      <c r="E235" s="1" t="n">
        <v>46309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46269</v>
      </c>
      <c r="E236" s="1" t="n">
        <v>46309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67134-2021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44523</v>
      </c>
      <c r="E237" s="1" t="n">
        <v>46309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46309</v>
      </c>
      <c r="F238" t="inlineStr">
        <is>
          <t>VÄSTRA GÖTALANDS LÄN</t>
        </is>
      </c>
      <c r="G238" t="inlineStr">
        <is>
          <t>SKÖVDE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46309</v>
      </c>
      <c r="F239" t="inlineStr">
        <is>
          <t>VÄSTRA GÖTALANDS LÄN</t>
        </is>
      </c>
      <c r="G239" t="inlineStr">
        <is>
          <t>SKÖVDE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25168-2023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45086</v>
      </c>
      <c r="E240" s="1" t="n">
        <v>46309</v>
      </c>
      <c r="F240" t="inlineStr">
        <is>
          <t>VÄSTRA GÖTALANDS LÄN</t>
        </is>
      </c>
      <c r="G240" t="inlineStr">
        <is>
          <t>SKÖVDE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60117-2021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44495</v>
      </c>
      <c r="E241" s="1" t="n">
        <v>46309</v>
      </c>
      <c r="F241" t="inlineStr">
        <is>
          <t>VÄSTRA GÖTALANDS LÄN</t>
        </is>
      </c>
      <c r="G241" t="inlineStr">
        <is>
          <t>SKÖVDE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46283</v>
      </c>
      <c r="E242" s="1" t="n">
        <v>46309</v>
      </c>
      <c r="F242" t="inlineStr">
        <is>
          <t>VÄSTRA GÖTALANDS LÄN</t>
        </is>
      </c>
      <c r="G242" t="inlineStr">
        <is>
          <t>SKÖVDE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45530</v>
      </c>
      <c r="E243" s="1" t="n">
        <v>46309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46309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46309</v>
      </c>
      <c r="F245" t="inlineStr">
        <is>
          <t>VÄSTRA GÖTALANDS LÄN</t>
        </is>
      </c>
      <c r="G245" t="inlineStr">
        <is>
          <t>SKÖVDE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46309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46309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46309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46309</v>
      </c>
      <c r="F249" t="inlineStr">
        <is>
          <t>VÄSTRA GÖTALANDS LÄN</t>
        </is>
      </c>
      <c r="G249" t="inlineStr">
        <is>
          <t>SKÖVDE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44743</v>
      </c>
      <c r="E250" s="1" t="n">
        <v>46309</v>
      </c>
      <c r="F250" t="inlineStr">
        <is>
          <t>VÄSTRA GÖTALANDS LÄN</t>
        </is>
      </c>
      <c r="G250" t="inlineStr">
        <is>
          <t>SKÖVDE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46309</v>
      </c>
      <c r="F251" t="inlineStr">
        <is>
          <t>VÄSTRA GÖTALANDS LÄN</t>
        </is>
      </c>
      <c r="G251" t="inlineStr">
        <is>
          <t>SKÖVDE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46309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46293</v>
      </c>
      <c r="E253" s="1" t="n">
        <v>46309</v>
      </c>
      <c r="F253" t="inlineStr">
        <is>
          <t>VÄSTRA GÖTALANDS LÄN</t>
        </is>
      </c>
      <c r="G253" t="inlineStr">
        <is>
          <t>SKÖVDE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46309</v>
      </c>
      <c r="F254" t="inlineStr">
        <is>
          <t>VÄSTRA GÖTALANDS LÄN</t>
        </is>
      </c>
      <c r="G254" t="inlineStr">
        <is>
          <t>SKÖVDE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46309</v>
      </c>
      <c r="F255" t="inlineStr">
        <is>
          <t>VÄSTRA GÖTALANDS LÄN</t>
        </is>
      </c>
      <c r="G255" t="inlineStr">
        <is>
          <t>SKÖVDE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60588-2023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45259</v>
      </c>
      <c r="E256" s="1" t="n">
        <v>46309</v>
      </c>
      <c r="F256" t="inlineStr">
        <is>
          <t>VÄSTRA GÖTALANDS LÄN</t>
        </is>
      </c>
      <c r="G256" t="inlineStr">
        <is>
          <t>SKÖVDE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46253</v>
      </c>
      <c r="E257" s="1" t="n">
        <v>46309</v>
      </c>
      <c r="F257" t="inlineStr">
        <is>
          <t>VÄSTRA GÖTALANDS LÄN</t>
        </is>
      </c>
      <c r="G257" t="inlineStr">
        <is>
          <t>SKÖVDE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46309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46309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46309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2026-10-14T02:00:32Z</dcterms:created>
  <dcterms:modified xmlns:dcterms="http://purl.org/dc/terms/" xmlns:xsi="http://www.w3.org/2001/XMLSchema-instance" xsi:type="dcterms:W3CDTF">2026-10-14T02:00:32Z</dcterms:modified>
</cp:coreProperties>
</file>