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46189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46189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46189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46189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46189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46189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46189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46189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Trollsmultron
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46189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46189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46189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46189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46189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46189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46189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46189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11192-2026</t>
        </is>
      </c>
      <c r="B21" s="1" t="n">
        <v>46080</v>
      </c>
      <c r="C21" s="1" t="n">
        <v>46189</v>
      </c>
      <c r="D21" t="inlineStr">
        <is>
          <t>VÄSTRA GÖTALANDS LÄN</t>
        </is>
      </c>
      <c r="E21" t="inlineStr">
        <is>
          <t>SKÖVDE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HYPERLINK("https://klasma.github.io/Logging_1496/artfynd/A 11192-2026 artfynd.xlsx", "A 11192-2026")</f>
        <v/>
      </c>
      <c r="T21">
        <f>HYPERLINK("https://klasma.github.io/Logging_1496/kartor/A 11192-2026 karta.png", "A 11192-2026")</f>
        <v/>
      </c>
      <c r="V21">
        <f>HYPERLINK("https://klasma.github.io/Logging_1496/klagomål/A 11192-2026 FSC-klagomål.docx", "A 11192-2026")</f>
        <v/>
      </c>
      <c r="W21">
        <f>HYPERLINK("https://klasma.github.io/Logging_1496/klagomålsmail/A 11192-2026 FSC-klagomål mail.docx", "A 11192-2026")</f>
        <v/>
      </c>
      <c r="X21">
        <f>HYPERLINK("https://klasma.github.io/Logging_1496/tillsyn/A 11192-2026 tillsynsbegäran.docx", "A 11192-2026")</f>
        <v/>
      </c>
      <c r="Y21">
        <f>HYPERLINK("https://klasma.github.io/Logging_1496/tillsynsmail/A 11192-2026 tillsynsbegäran mail.docx", "A 11192-2026")</f>
        <v/>
      </c>
    </row>
    <row r="22" ht="15" customHeight="1">
      <c r="A22" t="inlineStr">
        <is>
          <t>A 26907-2026</t>
        </is>
      </c>
      <c r="B22" s="1" t="n">
        <v>46185.49003472222</v>
      </c>
      <c r="C22" s="1" t="n">
        <v>46189</v>
      </c>
      <c r="D22" t="inlineStr">
        <is>
          <t>VÄSTRA GÖTALANDS LÄN</t>
        </is>
      </c>
      <c r="E22" t="inlineStr">
        <is>
          <t>SKÖVDE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HYPERLINK("https://klasma.github.io/Logging_1496/artfynd/A 26907-2026 artfynd.xlsx", "A 26907-2026")</f>
        <v/>
      </c>
      <c r="T22">
        <f>HYPERLINK("https://klasma.github.io/Logging_1496/kartor/A 26907-2026 karta.png", "A 26907-2026")</f>
        <v/>
      </c>
      <c r="V22">
        <f>HYPERLINK("https://klasma.github.io/Logging_1496/klagomål/A 26907-2026 FSC-klagomål.docx", "A 26907-2026")</f>
        <v/>
      </c>
      <c r="W22">
        <f>HYPERLINK("https://klasma.github.io/Logging_1496/klagomålsmail/A 26907-2026 FSC-klagomål mail.docx", "A 26907-2026")</f>
        <v/>
      </c>
      <c r="X22">
        <f>HYPERLINK("https://klasma.github.io/Logging_1496/tillsyn/A 26907-2026 tillsynsbegäran.docx", "A 26907-2026")</f>
        <v/>
      </c>
      <c r="Y22">
        <f>HYPERLINK("https://klasma.github.io/Logging_1496/tillsynsmail/A 26907-2026 tillsynsbegäran mail.docx", "A 26907-2026")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46189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46189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46189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46189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46189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46189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46189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4464-2026</t>
        </is>
      </c>
      <c r="B30" s="1" t="n">
        <v>46045.6518287037</v>
      </c>
      <c r="C30" s="1" t="n">
        <v>46189</v>
      </c>
      <c r="D30" t="inlineStr">
        <is>
          <t>VÄSTRA GÖTALANDS LÄN</t>
        </is>
      </c>
      <c r="E30" t="inlineStr">
        <is>
          <t>SKÖVDE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Myskmadra</t>
        </is>
      </c>
      <c r="S30">
        <f>HYPERLINK("https://klasma.github.io/Logging_1496/artfynd/A 4464-2026 artfynd.xlsx", "A 4464-2026")</f>
        <v/>
      </c>
      <c r="T30">
        <f>HYPERLINK("https://klasma.github.io/Logging_1496/kartor/A 4464-2026 karta.png", "A 4464-2026")</f>
        <v/>
      </c>
      <c r="V30">
        <f>HYPERLINK("https://klasma.github.io/Logging_1496/klagomål/A 4464-2026 FSC-klagomål.docx", "A 4464-2026")</f>
        <v/>
      </c>
      <c r="W30">
        <f>HYPERLINK("https://klasma.github.io/Logging_1496/klagomålsmail/A 4464-2026 FSC-klagomål mail.docx", "A 4464-2026")</f>
        <v/>
      </c>
      <c r="X30">
        <f>HYPERLINK("https://klasma.github.io/Logging_1496/tillsyn/A 4464-2026 tillsynsbegäran.docx", "A 4464-2026")</f>
        <v/>
      </c>
      <c r="Y30">
        <f>HYPERLINK("https://klasma.github.io/Logging_1496/tillsynsmail/A 4464-2026 tillsynsbegäran mail.docx", "A 4464-2026")</f>
        <v/>
      </c>
    </row>
    <row r="31" ht="15" customHeight="1">
      <c r="A31" t="inlineStr">
        <is>
          <t>A 6093-2026</t>
        </is>
      </c>
      <c r="B31" s="1" t="n">
        <v>46052</v>
      </c>
      <c r="C31" s="1" t="n">
        <v>46189</v>
      </c>
      <c r="D31" t="inlineStr">
        <is>
          <t>VÄSTRA GÖTALANDS LÄN</t>
        </is>
      </c>
      <c r="E31" t="inlineStr">
        <is>
          <t>SKÖVDE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HYPERLINK("https://klasma.github.io/Logging_1496/artfynd/A 6093-2026 artfynd.xlsx", "A 6093-2026")</f>
        <v/>
      </c>
      <c r="T31">
        <f>HYPERLINK("https://klasma.github.io/Logging_1496/kartor/A 6093-2026 karta.png", "A 6093-2026")</f>
        <v/>
      </c>
      <c r="V31">
        <f>HYPERLINK("https://klasma.github.io/Logging_1496/klagomål/A 6093-2026 FSC-klagomål.docx", "A 6093-2026")</f>
        <v/>
      </c>
      <c r="W31">
        <f>HYPERLINK("https://klasma.github.io/Logging_1496/klagomålsmail/A 6093-2026 FSC-klagomål mail.docx", "A 6093-2026")</f>
        <v/>
      </c>
      <c r="X31">
        <f>HYPERLINK("https://klasma.github.io/Logging_1496/tillsyn/A 6093-2026 tillsynsbegäran.docx", "A 6093-2026")</f>
        <v/>
      </c>
      <c r="Y31">
        <f>HYPERLINK("https://klasma.github.io/Logging_1496/tillsynsmail/A 6093-2026 tillsynsbegäran mail.docx", "A 6093-2026")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46189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46189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46189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24814-2026</t>
        </is>
      </c>
      <c r="B35" s="1" t="n">
        <v>46173.77466435185</v>
      </c>
      <c r="C35" s="1" t="n">
        <v>46189</v>
      </c>
      <c r="D35" t="inlineStr">
        <is>
          <t>VÄSTRA GÖTALANDS LÄN</t>
        </is>
      </c>
      <c r="E35" t="inlineStr">
        <is>
          <t>SKÖVDE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Svartoxe</t>
        </is>
      </c>
      <c r="S35">
        <f>HYPERLINK("https://klasma.github.io/Logging_1496/artfynd/A 24814-2026 artfynd.xlsx", "A 24814-2026")</f>
        <v/>
      </c>
      <c r="T35">
        <f>HYPERLINK("https://klasma.github.io/Logging_1496/kartor/A 24814-2026 karta.png", "A 24814-2026")</f>
        <v/>
      </c>
      <c r="V35">
        <f>HYPERLINK("https://klasma.github.io/Logging_1496/klagomål/A 24814-2026 FSC-klagomål.docx", "A 24814-2026")</f>
        <v/>
      </c>
      <c r="W35">
        <f>HYPERLINK("https://klasma.github.io/Logging_1496/klagomålsmail/A 24814-2026 FSC-klagomål mail.docx", "A 24814-2026")</f>
        <v/>
      </c>
      <c r="X35">
        <f>HYPERLINK("https://klasma.github.io/Logging_1496/tillsyn/A 24814-2026 tillsynsbegäran.docx", "A 24814-2026")</f>
        <v/>
      </c>
      <c r="Y35">
        <f>HYPERLINK("https://klasma.github.io/Logging_1496/tillsynsmail/A 24814-2026 tillsynsbegäran mail.docx", "A 24814-2026")</f>
        <v/>
      </c>
    </row>
    <row r="36" ht="15" customHeight="1">
      <c r="A36" t="inlineStr">
        <is>
          <t>A 41155-2021</t>
        </is>
      </c>
      <c r="B36" s="1" t="n">
        <v>44421</v>
      </c>
      <c r="C36" s="1" t="n">
        <v>46189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46086-2021</t>
        </is>
      </c>
      <c r="B37" s="1" t="n">
        <v>44442.34412037037</v>
      </c>
      <c r="C37" s="1" t="n">
        <v>46189</v>
      </c>
      <c r="D37" t="inlineStr">
        <is>
          <t>VÄSTRA GÖTALANDS LÄN</t>
        </is>
      </c>
      <c r="E37" t="inlineStr">
        <is>
          <t>SKÖVDE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46189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46189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46189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46189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46189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46189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46189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46189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46189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46189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46189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46189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46189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46189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46189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46189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46189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46189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46189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46189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46189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46189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46189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46189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46189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46189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46189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46189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46189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46189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37451-2022</t>
        </is>
      </c>
      <c r="B68" s="1" t="n">
        <v>44809</v>
      </c>
      <c r="C68" s="1" t="n">
        <v>46189</v>
      </c>
      <c r="D68" t="inlineStr">
        <is>
          <t>VÄSTRA GÖTALANDS LÄN</t>
        </is>
      </c>
      <c r="E68" t="inlineStr">
        <is>
          <t>SKÖVDE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62290-2023</t>
        </is>
      </c>
      <c r="B69" s="1" t="n">
        <v>45267.659375</v>
      </c>
      <c r="C69" s="1" t="n">
        <v>46189</v>
      </c>
      <c r="D69" t="inlineStr">
        <is>
          <t>VÄSTRA GÖTALANDS LÄN</t>
        </is>
      </c>
      <c r="E69" t="inlineStr">
        <is>
          <t>SKÖVDE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46189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46189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50829-2022</t>
        </is>
      </c>
      <c r="B72" s="1" t="n">
        <v>44862</v>
      </c>
      <c r="C72" s="1" t="n">
        <v>46189</v>
      </c>
      <c r="D72" t="inlineStr">
        <is>
          <t>VÄSTRA GÖTALANDS LÄN</t>
        </is>
      </c>
      <c r="E72" t="inlineStr">
        <is>
          <t>SKÖVDE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34211-2023</t>
        </is>
      </c>
      <c r="B73" s="1" t="n">
        <v>45138</v>
      </c>
      <c r="C73" s="1" t="n">
        <v>46189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13802-2024</t>
        </is>
      </c>
      <c r="B74" s="1" t="n">
        <v>45391</v>
      </c>
      <c r="C74" s="1" t="n">
        <v>46189</v>
      </c>
      <c r="D74" t="inlineStr">
        <is>
          <t>VÄSTRA GÖTALANDS LÄN</t>
        </is>
      </c>
      <c r="E74" t="inlineStr">
        <is>
          <t>SKÖVDE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565-2024</t>
        </is>
      </c>
      <c r="B75" s="1" t="n">
        <v>45299</v>
      </c>
      <c r="C75" s="1" t="n">
        <v>46189</v>
      </c>
      <c r="D75" t="inlineStr">
        <is>
          <t>VÄSTRA GÖTALANDS LÄN</t>
        </is>
      </c>
      <c r="E75" t="inlineStr">
        <is>
          <t>SKÖVDE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952-2024</t>
        </is>
      </c>
      <c r="B76" s="1" t="n">
        <v>45301</v>
      </c>
      <c r="C76" s="1" t="n">
        <v>46189</v>
      </c>
      <c r="D76" t="inlineStr">
        <is>
          <t>VÄSTRA GÖTALANDS LÄN</t>
        </is>
      </c>
      <c r="E76" t="inlineStr">
        <is>
          <t>SKÖVDE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46189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46189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13800-2024</t>
        </is>
      </c>
      <c r="B79" s="1" t="n">
        <v>45391</v>
      </c>
      <c r="C79" s="1" t="n">
        <v>46189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46189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37656-2023</t>
        </is>
      </c>
      <c r="B81" s="1" t="n">
        <v>45159.51996527778</v>
      </c>
      <c r="C81" s="1" t="n">
        <v>46189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2708-2024</t>
        </is>
      </c>
      <c r="B82" s="1" t="n">
        <v>45314</v>
      </c>
      <c r="C82" s="1" t="n">
        <v>46189</v>
      </c>
      <c r="D82" t="inlineStr">
        <is>
          <t>VÄSTRA GÖTALANDS LÄN</t>
        </is>
      </c>
      <c r="E82" t="inlineStr">
        <is>
          <t>SKÖVDE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46189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46189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46189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1641-2024</t>
        </is>
      </c>
      <c r="B86" s="1" t="n">
        <v>45306.66873842593</v>
      </c>
      <c r="C86" s="1" t="n">
        <v>46189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10560-2025</t>
        </is>
      </c>
      <c r="B87" s="1" t="n">
        <v>45721.5255787037</v>
      </c>
      <c r="C87" s="1" t="n">
        <v>46189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48575-2024</t>
        </is>
      </c>
      <c r="B88" s="1" t="n">
        <v>45593.41140046297</v>
      </c>
      <c r="C88" s="1" t="n">
        <v>46189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1629-2025</t>
        </is>
      </c>
      <c r="B89" s="1" t="n">
        <v>45670.6265162037</v>
      </c>
      <c r="C89" s="1" t="n">
        <v>46189</v>
      </c>
      <c r="D89" t="inlineStr">
        <is>
          <t>VÄSTRA GÖTALANDS LÄN</t>
        </is>
      </c>
      <c r="E89" t="inlineStr">
        <is>
          <t>SKÖVDE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38903-2024</t>
        </is>
      </c>
      <c r="B90" s="1" t="n">
        <v>45547</v>
      </c>
      <c r="C90" s="1" t="n">
        <v>46189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47466-2024</t>
        </is>
      </c>
      <c r="B91" s="1" t="n">
        <v>45586</v>
      </c>
      <c r="C91" s="1" t="n">
        <v>46189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47490-2024</t>
        </is>
      </c>
      <c r="B92" s="1" t="n">
        <v>45586</v>
      </c>
      <c r="C92" s="1" t="n">
        <v>46189</v>
      </c>
      <c r="D92" t="inlineStr">
        <is>
          <t>VÄSTRA GÖTALANDS LÄN</t>
        </is>
      </c>
      <c r="E92" t="inlineStr">
        <is>
          <t>SKÖVDE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1784-2023</t>
        </is>
      </c>
      <c r="B93" s="1" t="n">
        <v>44938.60303240741</v>
      </c>
      <c r="C93" s="1" t="n">
        <v>46189</v>
      </c>
      <c r="D93" t="inlineStr">
        <is>
          <t>VÄSTRA GÖTALANDS LÄN</t>
        </is>
      </c>
      <c r="E93" t="inlineStr">
        <is>
          <t>SKÖVDE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15388-2024</t>
        </is>
      </c>
      <c r="B94" s="1" t="n">
        <v>45401.23033564815</v>
      </c>
      <c r="C94" s="1" t="n">
        <v>46189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5995-2022</t>
        </is>
      </c>
      <c r="B95" s="1" t="n">
        <v>44599.43216435185</v>
      </c>
      <c r="C95" s="1" t="n">
        <v>46189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12817-2024</t>
        </is>
      </c>
      <c r="B96" s="1" t="n">
        <v>45384</v>
      </c>
      <c r="C96" s="1" t="n">
        <v>46189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29217-2022</t>
        </is>
      </c>
      <c r="B97" s="1" t="n">
        <v>44750.58076388889</v>
      </c>
      <c r="C97" s="1" t="n">
        <v>46189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41942-2021</t>
        </is>
      </c>
      <c r="B98" s="1" t="n">
        <v>44425</v>
      </c>
      <c r="C98" s="1" t="n">
        <v>46189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48225-2024</t>
        </is>
      </c>
      <c r="B99" s="1" t="n">
        <v>45590.36800925926</v>
      </c>
      <c r="C99" s="1" t="n">
        <v>46189</v>
      </c>
      <c r="D99" t="inlineStr">
        <is>
          <t>VÄSTRA GÖTALANDS LÄN</t>
        </is>
      </c>
      <c r="E99" t="inlineStr">
        <is>
          <t>SKÖVDE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40712-2021</t>
        </is>
      </c>
      <c r="B100" s="1" t="n">
        <v>44420</v>
      </c>
      <c r="C100" s="1" t="n">
        <v>46189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48983-2024</t>
        </is>
      </c>
      <c r="B101" s="1" t="n">
        <v>45594.46991898148</v>
      </c>
      <c r="C101" s="1" t="n">
        <v>46189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20912-2024</t>
        </is>
      </c>
      <c r="B102" s="1" t="n">
        <v>45439.49229166667</v>
      </c>
      <c r="C102" s="1" t="n">
        <v>46189</v>
      </c>
      <c r="D102" t="inlineStr">
        <is>
          <t>VÄSTRA GÖTALANDS LÄN</t>
        </is>
      </c>
      <c r="E102" t="inlineStr">
        <is>
          <t>SKÖVDE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23447-2023</t>
        </is>
      </c>
      <c r="B103" s="1" t="n">
        <v>45076.59756944444</v>
      </c>
      <c r="C103" s="1" t="n">
        <v>46189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40995-2022</t>
        </is>
      </c>
      <c r="B104" s="1" t="n">
        <v>44825.49869212963</v>
      </c>
      <c r="C104" s="1" t="n">
        <v>46189</v>
      </c>
      <c r="D104" t="inlineStr">
        <is>
          <t>VÄSTRA GÖTALANDS LÄN</t>
        </is>
      </c>
      <c r="E104" t="inlineStr">
        <is>
          <t>SKÖVDE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6419-2025</t>
        </is>
      </c>
      <c r="B105" s="1" t="n">
        <v>45699.47835648148</v>
      </c>
      <c r="C105" s="1" t="n">
        <v>46189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13669-2023</t>
        </is>
      </c>
      <c r="B106" s="1" t="n">
        <v>45006</v>
      </c>
      <c r="C106" s="1" t="n">
        <v>46189</v>
      </c>
      <c r="D106" t="inlineStr">
        <is>
          <t>VÄSTRA GÖTALANDS LÄN</t>
        </is>
      </c>
      <c r="E106" t="inlineStr">
        <is>
          <t>SKÖVDE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46189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13178-2023</t>
        </is>
      </c>
      <c r="B108" s="1" t="n">
        <v>45002</v>
      </c>
      <c r="C108" s="1" t="n">
        <v>46189</v>
      </c>
      <c r="D108" t="inlineStr">
        <is>
          <t>VÄSTRA GÖTALANDS LÄN</t>
        </is>
      </c>
      <c r="E108" t="inlineStr">
        <is>
          <t>SKÖVDE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48336-2024</t>
        </is>
      </c>
      <c r="B109" s="1" t="n">
        <v>45590.54072916666</v>
      </c>
      <c r="C109" s="1" t="n">
        <v>46189</v>
      </c>
      <c r="D109" t="inlineStr">
        <is>
          <t>VÄSTRA GÖTALANDS LÄN</t>
        </is>
      </c>
      <c r="E109" t="inlineStr">
        <is>
          <t>SKÖVDE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61213-2024</t>
        </is>
      </c>
      <c r="B110" s="1" t="n">
        <v>45645.65461805555</v>
      </c>
      <c r="C110" s="1" t="n">
        <v>46189</v>
      </c>
      <c r="D110" t="inlineStr">
        <is>
          <t>VÄSTRA GÖTALANDS LÄN</t>
        </is>
      </c>
      <c r="E110" t="inlineStr">
        <is>
          <t>SKÖVDE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40205-2022</t>
        </is>
      </c>
      <c r="B111" s="1" t="n">
        <v>44820</v>
      </c>
      <c r="C111" s="1" t="n">
        <v>46189</v>
      </c>
      <c r="D111" t="inlineStr">
        <is>
          <t>VÄSTRA GÖTALANDS LÄN</t>
        </is>
      </c>
      <c r="E111" t="inlineStr">
        <is>
          <t>SKÖVDE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30034-2021</t>
        </is>
      </c>
      <c r="B112" s="1" t="n">
        <v>44363</v>
      </c>
      <c r="C112" s="1" t="n">
        <v>46189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48149-2023</t>
        </is>
      </c>
      <c r="B113" s="1" t="n">
        <v>45201</v>
      </c>
      <c r="C113" s="1" t="n">
        <v>46189</v>
      </c>
      <c r="D113" t="inlineStr">
        <is>
          <t>VÄSTRA GÖTALANDS LÄN</t>
        </is>
      </c>
      <c r="E113" t="inlineStr">
        <is>
          <t>SKÖVDE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39073-2025</t>
        </is>
      </c>
      <c r="B114" s="1" t="n">
        <v>45888</v>
      </c>
      <c r="C114" s="1" t="n">
        <v>46189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17070-2025</t>
        </is>
      </c>
      <c r="B115" s="1" t="n">
        <v>45755.61774305555</v>
      </c>
      <c r="C115" s="1" t="n">
        <v>46189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35199-2025</t>
        </is>
      </c>
      <c r="B116" s="1" t="n">
        <v>45853</v>
      </c>
      <c r="C116" s="1" t="n">
        <v>46189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17326-2025</t>
        </is>
      </c>
      <c r="B117" s="1" t="n">
        <v>45756</v>
      </c>
      <c r="C117" s="1" t="n">
        <v>46189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58456-2024</t>
        </is>
      </c>
      <c r="B118" s="1" t="n">
        <v>45635.36013888889</v>
      </c>
      <c r="C118" s="1" t="n">
        <v>46189</v>
      </c>
      <c r="D118" t="inlineStr">
        <is>
          <t>VÄSTRA GÖTALANDS LÄN</t>
        </is>
      </c>
      <c r="E118" t="inlineStr">
        <is>
          <t>SKÖVDE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20600-2025</t>
        </is>
      </c>
      <c r="B119" s="1" t="n">
        <v>45775.79165509259</v>
      </c>
      <c r="C119" s="1" t="n">
        <v>46189</v>
      </c>
      <c r="D119" t="inlineStr">
        <is>
          <t>VÄSTRA GÖTALANDS LÄN</t>
        </is>
      </c>
      <c r="E119" t="inlineStr">
        <is>
          <t>SKÖVDE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39238-2025</t>
        </is>
      </c>
      <c r="B120" s="1" t="n">
        <v>45889.33467592593</v>
      </c>
      <c r="C120" s="1" t="n">
        <v>46189</v>
      </c>
      <c r="D120" t="inlineStr">
        <is>
          <t>VÄSTRA GÖTALANDS LÄN</t>
        </is>
      </c>
      <c r="E120" t="inlineStr">
        <is>
          <t>SKÖVDE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39243-2025</t>
        </is>
      </c>
      <c r="B121" s="1" t="n">
        <v>45889.34508101852</v>
      </c>
      <c r="C121" s="1" t="n">
        <v>46189</v>
      </c>
      <c r="D121" t="inlineStr">
        <is>
          <t>VÄSTRA GÖTALANDS LÄN</t>
        </is>
      </c>
      <c r="E121" t="inlineStr">
        <is>
          <t>SKÖVDE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26699-2022</t>
        </is>
      </c>
      <c r="B122" s="1" t="n">
        <v>44739.72042824074</v>
      </c>
      <c r="C122" s="1" t="n">
        <v>46189</v>
      </c>
      <c r="D122" t="inlineStr">
        <is>
          <t>VÄSTRA GÖTALANDS LÄN</t>
        </is>
      </c>
      <c r="E122" t="inlineStr">
        <is>
          <t>SKÖVDE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8557-2025</t>
        </is>
      </c>
      <c r="B123" s="1" t="n">
        <v>45709</v>
      </c>
      <c r="C123" s="1" t="n">
        <v>46189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7869-2025</t>
        </is>
      </c>
      <c r="B124" s="1" t="n">
        <v>45706.69854166666</v>
      </c>
      <c r="C124" s="1" t="n">
        <v>46189</v>
      </c>
      <c r="D124" t="inlineStr">
        <is>
          <t>VÄSTRA GÖTALANDS LÄN</t>
        </is>
      </c>
      <c r="E124" t="inlineStr">
        <is>
          <t>SKÖVDE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10559-2025</t>
        </is>
      </c>
      <c r="B125" s="1" t="n">
        <v>45721.52329861111</v>
      </c>
      <c r="C125" s="1" t="n">
        <v>46189</v>
      </c>
      <c r="D125" t="inlineStr">
        <is>
          <t>VÄSTRA GÖTALANDS LÄN</t>
        </is>
      </c>
      <c r="E125" t="inlineStr">
        <is>
          <t>SKÖVDE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60587-2023</t>
        </is>
      </c>
      <c r="B126" s="1" t="n">
        <v>45259</v>
      </c>
      <c r="C126" s="1" t="n">
        <v>46189</v>
      </c>
      <c r="D126" t="inlineStr">
        <is>
          <t>VÄSTRA GÖTALANDS LÄN</t>
        </is>
      </c>
      <c r="E126" t="inlineStr">
        <is>
          <t>SKÖVDE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38499-2025</t>
        </is>
      </c>
      <c r="B127" s="1" t="n">
        <v>45884.37276620371</v>
      </c>
      <c r="C127" s="1" t="n">
        <v>46189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Kyrkan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36556-2022</t>
        </is>
      </c>
      <c r="B128" s="1" t="n">
        <v>44804</v>
      </c>
      <c r="C128" s="1" t="n">
        <v>46189</v>
      </c>
      <c r="D128" t="inlineStr">
        <is>
          <t>VÄSTRA GÖTALANDS LÄN</t>
        </is>
      </c>
      <c r="E128" t="inlineStr">
        <is>
          <t>SKÖVDE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29011-2023</t>
        </is>
      </c>
      <c r="B129" s="1" t="n">
        <v>45104</v>
      </c>
      <c r="C129" s="1" t="n">
        <v>46189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26737-2023</t>
        </is>
      </c>
      <c r="B130" s="1" t="n">
        <v>45093.42945601852</v>
      </c>
      <c r="C130" s="1" t="n">
        <v>46189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46923-2025</t>
        </is>
      </c>
      <c r="B131" s="1" t="n">
        <v>45929.43701388889</v>
      </c>
      <c r="C131" s="1" t="n">
        <v>46189</v>
      </c>
      <c r="D131" t="inlineStr">
        <is>
          <t>VÄSTRA GÖTALANDS LÄN</t>
        </is>
      </c>
      <c r="E131" t="inlineStr">
        <is>
          <t>SKÖVDE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42579-2025</t>
        </is>
      </c>
      <c r="B132" s="1" t="n">
        <v>45905</v>
      </c>
      <c r="C132" s="1" t="n">
        <v>46189</v>
      </c>
      <c r="D132" t="inlineStr">
        <is>
          <t>VÄSTRA GÖTALANDS LÄN</t>
        </is>
      </c>
      <c r="E132" t="inlineStr">
        <is>
          <t>SKÖVDE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51886-2021</t>
        </is>
      </c>
      <c r="B133" s="1" t="n">
        <v>44462.82854166667</v>
      </c>
      <c r="C133" s="1" t="n">
        <v>46189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47892-2025</t>
        </is>
      </c>
      <c r="B134" s="1" t="n">
        <v>45932.47384259259</v>
      </c>
      <c r="C134" s="1" t="n">
        <v>46189</v>
      </c>
      <c r="D134" t="inlineStr">
        <is>
          <t>VÄSTRA GÖTALANDS LÄN</t>
        </is>
      </c>
      <c r="E134" t="inlineStr">
        <is>
          <t>SKÖVDE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47869-2025</t>
        </is>
      </c>
      <c r="B135" s="1" t="n">
        <v>45932.44273148148</v>
      </c>
      <c r="C135" s="1" t="n">
        <v>46189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15417-2023</t>
        </is>
      </c>
      <c r="B136" s="1" t="n">
        <v>45019</v>
      </c>
      <c r="C136" s="1" t="n">
        <v>46189</v>
      </c>
      <c r="D136" t="inlineStr">
        <is>
          <t>VÄSTRA GÖTALANDS LÄN</t>
        </is>
      </c>
      <c r="E136" t="inlineStr">
        <is>
          <t>SKÖVDE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5308-2023</t>
        </is>
      </c>
      <c r="B137" s="1" t="n">
        <v>44959.55680555556</v>
      </c>
      <c r="C137" s="1" t="n">
        <v>46189</v>
      </c>
      <c r="D137" t="inlineStr">
        <is>
          <t>VÄSTRA GÖTALANDS LÄN</t>
        </is>
      </c>
      <c r="E137" t="inlineStr">
        <is>
          <t>SKÖVDE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48890-2025</t>
        </is>
      </c>
      <c r="B138" s="1" t="n">
        <v>45937.46953703704</v>
      </c>
      <c r="C138" s="1" t="n">
        <v>46189</v>
      </c>
      <c r="D138" t="inlineStr">
        <is>
          <t>VÄSTRA GÖTALANDS LÄN</t>
        </is>
      </c>
      <c r="E138" t="inlineStr">
        <is>
          <t>SKÖVDE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17798-2024</t>
        </is>
      </c>
      <c r="B139" s="1" t="n">
        <v>45418</v>
      </c>
      <c r="C139" s="1" t="n">
        <v>46189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5466-2025</t>
        </is>
      </c>
      <c r="B140" s="1" t="n">
        <v>45693.32571759259</v>
      </c>
      <c r="C140" s="1" t="n">
        <v>46189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1636-2024</t>
        </is>
      </c>
      <c r="B141" s="1" t="n">
        <v>45306</v>
      </c>
      <c r="C141" s="1" t="n">
        <v>46189</v>
      </c>
      <c r="D141" t="inlineStr">
        <is>
          <t>VÄSTRA GÖTALANDS LÄN</t>
        </is>
      </c>
      <c r="E141" t="inlineStr">
        <is>
          <t>SKÖVDE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51193-2025</t>
        </is>
      </c>
      <c r="B142" s="1" t="n">
        <v>45947</v>
      </c>
      <c r="C142" s="1" t="n">
        <v>46189</v>
      </c>
      <c r="D142" t="inlineStr">
        <is>
          <t>VÄSTRA GÖTALANDS LÄN</t>
        </is>
      </c>
      <c r="E142" t="inlineStr">
        <is>
          <t>SKÖVDE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51217-2025</t>
        </is>
      </c>
      <c r="B143" s="1" t="n">
        <v>45947.64515046297</v>
      </c>
      <c r="C143" s="1" t="n">
        <v>46189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51155-2025</t>
        </is>
      </c>
      <c r="B144" s="1" t="n">
        <v>45947</v>
      </c>
      <c r="C144" s="1" t="n">
        <v>46189</v>
      </c>
      <c r="D144" t="inlineStr">
        <is>
          <t>VÄSTRA GÖTALANDS LÄN</t>
        </is>
      </c>
      <c r="E144" t="inlineStr">
        <is>
          <t>SKÖVDE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52172-2025</t>
        </is>
      </c>
      <c r="B145" s="1" t="n">
        <v>45953.37298611111</v>
      </c>
      <c r="C145" s="1" t="n">
        <v>46189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53153-2025</t>
        </is>
      </c>
      <c r="B146" s="1" t="n">
        <v>45958.48887731481</v>
      </c>
      <c r="C146" s="1" t="n">
        <v>46189</v>
      </c>
      <c r="D146" t="inlineStr">
        <is>
          <t>VÄSTRA GÖTALANDS LÄN</t>
        </is>
      </c>
      <c r="E146" t="inlineStr">
        <is>
          <t>SKÖVDE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37204-2024</t>
        </is>
      </c>
      <c r="B147" s="1" t="n">
        <v>45539.67663194444</v>
      </c>
      <c r="C147" s="1" t="n">
        <v>46189</v>
      </c>
      <c r="D147" t="inlineStr">
        <is>
          <t>VÄSTRA GÖTALANDS LÄN</t>
        </is>
      </c>
      <c r="E147" t="inlineStr">
        <is>
          <t>SKÖVDE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40374-2023</t>
        </is>
      </c>
      <c r="B148" s="1" t="n">
        <v>45169.74189814815</v>
      </c>
      <c r="C148" s="1" t="n">
        <v>46189</v>
      </c>
      <c r="D148" t="inlineStr">
        <is>
          <t>VÄSTRA GÖTALANDS LÄN</t>
        </is>
      </c>
      <c r="E148" t="inlineStr">
        <is>
          <t>SKÖVDE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41722-2024</t>
        </is>
      </c>
      <c r="B149" s="1" t="n">
        <v>45560</v>
      </c>
      <c r="C149" s="1" t="n">
        <v>46189</v>
      </c>
      <c r="D149" t="inlineStr">
        <is>
          <t>VÄSTRA GÖTALANDS LÄN</t>
        </is>
      </c>
      <c r="E149" t="inlineStr">
        <is>
          <t>SKÖVDE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55642-2025</t>
        </is>
      </c>
      <c r="B150" s="1" t="n">
        <v>45972.3575462963</v>
      </c>
      <c r="C150" s="1" t="n">
        <v>46189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48338-2024</t>
        </is>
      </c>
      <c r="B151" s="1" t="n">
        <v>45590.54170138889</v>
      </c>
      <c r="C151" s="1" t="n">
        <v>46189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53740-2023</t>
        </is>
      </c>
      <c r="B152" s="1" t="n">
        <v>45230</v>
      </c>
      <c r="C152" s="1" t="n">
        <v>46189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38750-2023</t>
        </is>
      </c>
      <c r="B153" s="1" t="n">
        <v>45163.40059027778</v>
      </c>
      <c r="C153" s="1" t="n">
        <v>46189</v>
      </c>
      <c r="D153" t="inlineStr">
        <is>
          <t>VÄSTRA GÖTALANDS LÄN</t>
        </is>
      </c>
      <c r="E153" t="inlineStr">
        <is>
          <t>SKÖVDE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59366-2025</t>
        </is>
      </c>
      <c r="B154" s="1" t="n">
        <v>45989.44545138889</v>
      </c>
      <c r="C154" s="1" t="n">
        <v>46189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59384-2025</t>
        </is>
      </c>
      <c r="B155" s="1" t="n">
        <v>45989.45657407407</v>
      </c>
      <c r="C155" s="1" t="n">
        <v>46189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12942-2024</t>
        </is>
      </c>
      <c r="B156" s="1" t="n">
        <v>45385.46519675926</v>
      </c>
      <c r="C156" s="1" t="n">
        <v>46189</v>
      </c>
      <c r="D156" t="inlineStr">
        <is>
          <t>VÄSTRA GÖTALANDS LÄN</t>
        </is>
      </c>
      <c r="E156" t="inlineStr">
        <is>
          <t>SKÖVDE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52377-2023</t>
        </is>
      </c>
      <c r="B157" s="1" t="n">
        <v>45224</v>
      </c>
      <c r="C157" s="1" t="n">
        <v>46189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61130-2025</t>
        </is>
      </c>
      <c r="B158" s="1" t="n">
        <v>46000.48894675926</v>
      </c>
      <c r="C158" s="1" t="n">
        <v>46189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47900-2023</t>
        </is>
      </c>
      <c r="B159" s="1" t="n">
        <v>45204</v>
      </c>
      <c r="C159" s="1" t="n">
        <v>46189</v>
      </c>
      <c r="D159" t="inlineStr">
        <is>
          <t>VÄSTRA GÖTALANDS LÄN</t>
        </is>
      </c>
      <c r="E159" t="inlineStr">
        <is>
          <t>SKÖVDE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61421-2025</t>
        </is>
      </c>
      <c r="B160" s="1" t="n">
        <v>46001.54255787037</v>
      </c>
      <c r="C160" s="1" t="n">
        <v>46189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61699-2025</t>
        </is>
      </c>
      <c r="B161" s="1" t="n">
        <v>46002.53145833333</v>
      </c>
      <c r="C161" s="1" t="n">
        <v>46189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61700-2025</t>
        </is>
      </c>
      <c r="B162" s="1" t="n">
        <v>46002.53287037037</v>
      </c>
      <c r="C162" s="1" t="n">
        <v>46189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15952-2025</t>
        </is>
      </c>
      <c r="B163" s="1" t="n">
        <v>45749.50174768519</v>
      </c>
      <c r="C163" s="1" t="n">
        <v>46189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61420-2025</t>
        </is>
      </c>
      <c r="B164" s="1" t="n">
        <v>46001.54215277778</v>
      </c>
      <c r="C164" s="1" t="n">
        <v>46189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61422-2025</t>
        </is>
      </c>
      <c r="B165" s="1" t="n">
        <v>46001.54291666667</v>
      </c>
      <c r="C165" s="1" t="n">
        <v>46189</v>
      </c>
      <c r="D165" t="inlineStr">
        <is>
          <t>VÄSTRA GÖTALANDS LÄN</t>
        </is>
      </c>
      <c r="E165" t="inlineStr">
        <is>
          <t>SKÖVDE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62811-2025</t>
        </is>
      </c>
      <c r="B166" s="1" t="n">
        <v>46008</v>
      </c>
      <c r="C166" s="1" t="n">
        <v>46189</v>
      </c>
      <c r="D166" t="inlineStr">
        <is>
          <t>VÄSTRA GÖTALANDS LÄN</t>
        </is>
      </c>
      <c r="E166" t="inlineStr">
        <is>
          <t>SKÖVDE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38048-2022</t>
        </is>
      </c>
      <c r="B167" s="1" t="n">
        <v>44811</v>
      </c>
      <c r="C167" s="1" t="n">
        <v>46189</v>
      </c>
      <c r="D167" t="inlineStr">
        <is>
          <t>VÄSTRA GÖTALANDS LÄN</t>
        </is>
      </c>
      <c r="E167" t="inlineStr">
        <is>
          <t>SKÖVDE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62803-2025</t>
        </is>
      </c>
      <c r="B168" s="1" t="n">
        <v>46008</v>
      </c>
      <c r="C168" s="1" t="n">
        <v>46189</v>
      </c>
      <c r="D168" t="inlineStr">
        <is>
          <t>VÄSTRA GÖTALANDS LÄN</t>
        </is>
      </c>
      <c r="E168" t="inlineStr">
        <is>
          <t>SKÖVDE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63453-2025</t>
        </is>
      </c>
      <c r="B169" s="1" t="n">
        <v>46013.41452546296</v>
      </c>
      <c r="C169" s="1" t="n">
        <v>46189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63449-2025</t>
        </is>
      </c>
      <c r="B170" s="1" t="n">
        <v>46013.40626157408</v>
      </c>
      <c r="C170" s="1" t="n">
        <v>46189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34528-2023</t>
        </is>
      </c>
      <c r="B171" s="1" t="n">
        <v>45134</v>
      </c>
      <c r="C171" s="1" t="n">
        <v>46189</v>
      </c>
      <c r="D171" t="inlineStr">
        <is>
          <t>VÄSTRA GÖTALANDS LÄN</t>
        </is>
      </c>
      <c r="E171" t="inlineStr">
        <is>
          <t>SKÖVDE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5714-2025</t>
        </is>
      </c>
      <c r="B172" s="1" t="n">
        <v>45694.46822916667</v>
      </c>
      <c r="C172" s="1" t="n">
        <v>46189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63751-2025</t>
        </is>
      </c>
      <c r="B173" s="1" t="n">
        <v>46017.75608796296</v>
      </c>
      <c r="C173" s="1" t="n">
        <v>46189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49416-2023</t>
        </is>
      </c>
      <c r="B174" s="1" t="n">
        <v>45211.44688657407</v>
      </c>
      <c r="C174" s="1" t="n">
        <v>46189</v>
      </c>
      <c r="D174" t="inlineStr">
        <is>
          <t>VÄSTRA GÖTALANDS LÄN</t>
        </is>
      </c>
      <c r="E174" t="inlineStr">
        <is>
          <t>SKÖVDE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3670-2022</t>
        </is>
      </c>
      <c r="B175" s="1" t="n">
        <v>44586</v>
      </c>
      <c r="C175" s="1" t="n">
        <v>46189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950-2024</t>
        </is>
      </c>
      <c r="B176" s="1" t="n">
        <v>45301</v>
      </c>
      <c r="C176" s="1" t="n">
        <v>46189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34834-2022</t>
        </is>
      </c>
      <c r="B177" s="1" t="n">
        <v>44796</v>
      </c>
      <c r="C177" s="1" t="n">
        <v>46189</v>
      </c>
      <c r="D177" t="inlineStr">
        <is>
          <t>VÄSTRA GÖTALANDS LÄN</t>
        </is>
      </c>
      <c r="E177" t="inlineStr">
        <is>
          <t>SKÖVDE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12162-2022</t>
        </is>
      </c>
      <c r="B178" s="1" t="n">
        <v>44636</v>
      </c>
      <c r="C178" s="1" t="n">
        <v>46189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1844-2026</t>
        </is>
      </c>
      <c r="B179" s="1" t="n">
        <v>46035.40652777778</v>
      </c>
      <c r="C179" s="1" t="n">
        <v>46189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2259-2026</t>
        </is>
      </c>
      <c r="B180" s="1" t="n">
        <v>46036</v>
      </c>
      <c r="C180" s="1" t="n">
        <v>46189</v>
      </c>
      <c r="D180" t="inlineStr">
        <is>
          <t>VÄSTRA GÖTALANDS LÄN</t>
        </is>
      </c>
      <c r="E180" t="inlineStr">
        <is>
          <t>SKÖVDE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13901-2025</t>
        </is>
      </c>
      <c r="B181" s="1" t="n">
        <v>45737</v>
      </c>
      <c r="C181" s="1" t="n">
        <v>46189</v>
      </c>
      <c r="D181" t="inlineStr">
        <is>
          <t>VÄSTRA GÖTALANDS LÄN</t>
        </is>
      </c>
      <c r="E181" t="inlineStr">
        <is>
          <t>SKÖVDE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2901-2026</t>
        </is>
      </c>
      <c r="B182" s="1" t="n">
        <v>46038</v>
      </c>
      <c r="C182" s="1" t="n">
        <v>46189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59053-2024</t>
        </is>
      </c>
      <c r="B183" s="1" t="n">
        <v>45636.80626157407</v>
      </c>
      <c r="C183" s="1" t="n">
        <v>46189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6598-2022</t>
        </is>
      </c>
      <c r="B184" s="1" t="n">
        <v>44601</v>
      </c>
      <c r="C184" s="1" t="n">
        <v>46189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40105-2021</t>
        </is>
      </c>
      <c r="B185" s="1" t="n">
        <v>44418</v>
      </c>
      <c r="C185" s="1" t="n">
        <v>46189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5808-2023</t>
        </is>
      </c>
      <c r="B186" s="1" t="n">
        <v>44963.48101851852</v>
      </c>
      <c r="C186" s="1" t="n">
        <v>46189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6092-2026</t>
        </is>
      </c>
      <c r="B187" s="1" t="n">
        <v>46052</v>
      </c>
      <c r="C187" s="1" t="n">
        <v>46189</v>
      </c>
      <c r="D187" t="inlineStr">
        <is>
          <t>VÄSTRA GÖTALANDS LÄN</t>
        </is>
      </c>
      <c r="E187" t="inlineStr">
        <is>
          <t>SKÖVDE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5785-2026</t>
        </is>
      </c>
      <c r="B188" s="1" t="n">
        <v>46051.66454861111</v>
      </c>
      <c r="C188" s="1" t="n">
        <v>46189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6224-2022</t>
        </is>
      </c>
      <c r="B189" s="1" t="n">
        <v>44600.39609953704</v>
      </c>
      <c r="C189" s="1" t="n">
        <v>46189</v>
      </c>
      <c r="D189" t="inlineStr">
        <is>
          <t>VÄSTRA GÖTALANDS LÄN</t>
        </is>
      </c>
      <c r="E189" t="inlineStr">
        <is>
          <t>SKÖVDE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62269-2023</t>
        </is>
      </c>
      <c r="B190" s="1" t="n">
        <v>45267.63450231482</v>
      </c>
      <c r="C190" s="1" t="n">
        <v>46189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17452-2023</t>
        </is>
      </c>
      <c r="B191" s="1" t="n">
        <v>45036</v>
      </c>
      <c r="C191" s="1" t="n">
        <v>46189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63374-2025</t>
        </is>
      </c>
      <c r="B192" s="1" t="n">
        <v>46009</v>
      </c>
      <c r="C192" s="1" t="n">
        <v>46189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63730-2025</t>
        </is>
      </c>
      <c r="B193" s="1" t="n">
        <v>46010</v>
      </c>
      <c r="C193" s="1" t="n">
        <v>46189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63375-2025</t>
        </is>
      </c>
      <c r="B194" s="1" t="n">
        <v>46009</v>
      </c>
      <c r="C194" s="1" t="n">
        <v>46189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63729-2025</t>
        </is>
      </c>
      <c r="B195" s="1" t="n">
        <v>46010</v>
      </c>
      <c r="C195" s="1" t="n">
        <v>46189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7748-2026</t>
        </is>
      </c>
      <c r="B196" s="1" t="n">
        <v>46062.54561342593</v>
      </c>
      <c r="C196" s="1" t="n">
        <v>46189</v>
      </c>
      <c r="D196" t="inlineStr">
        <is>
          <t>VÄSTRA GÖTALANDS LÄN</t>
        </is>
      </c>
      <c r="E196" t="inlineStr">
        <is>
          <t>SKÖVDE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59893-2025</t>
        </is>
      </c>
      <c r="B197" s="1" t="n">
        <v>45992</v>
      </c>
      <c r="C197" s="1" t="n">
        <v>46189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7746-2026</t>
        </is>
      </c>
      <c r="B198" s="1" t="n">
        <v>46062.54372685185</v>
      </c>
      <c r="C198" s="1" t="n">
        <v>46189</v>
      </c>
      <c r="D198" t="inlineStr">
        <is>
          <t>VÄSTRA GÖTALANDS LÄN</t>
        </is>
      </c>
      <c r="E198" t="inlineStr">
        <is>
          <t>SKÖVDE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34248-2023</t>
        </is>
      </c>
      <c r="B199" s="1" t="n">
        <v>45138.55064814815</v>
      </c>
      <c r="C199" s="1" t="n">
        <v>46189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62271-2023</t>
        </is>
      </c>
      <c r="B200" s="1" t="n">
        <v>45267.6362037037</v>
      </c>
      <c r="C200" s="1" t="n">
        <v>46189</v>
      </c>
      <c r="D200" t="inlineStr">
        <is>
          <t>VÄSTRA GÖTALANDS LÄN</t>
        </is>
      </c>
      <c r="E200" t="inlineStr">
        <is>
          <t>SKÖVDE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46189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29222-2022</t>
        </is>
      </c>
      <c r="B202" s="1" t="n">
        <v>44750</v>
      </c>
      <c r="C202" s="1" t="n">
        <v>46189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67134-2021</t>
        </is>
      </c>
      <c r="B203" s="1" t="n">
        <v>44523.37474537037</v>
      </c>
      <c r="C203" s="1" t="n">
        <v>46189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29248-2023</t>
        </is>
      </c>
      <c r="B204" s="1" t="n">
        <v>45105.63884259259</v>
      </c>
      <c r="C204" s="1" t="n">
        <v>46189</v>
      </c>
      <c r="D204" t="inlineStr">
        <is>
          <t>VÄSTRA GÖTALANDS LÄN</t>
        </is>
      </c>
      <c r="E204" t="inlineStr">
        <is>
          <t>SKÖVDE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18132-2023</t>
        </is>
      </c>
      <c r="B205" s="1" t="n">
        <v>45040</v>
      </c>
      <c r="C205" s="1" t="n">
        <v>46189</v>
      </c>
      <c r="D205" t="inlineStr">
        <is>
          <t>VÄSTRA GÖTALANDS LÄN</t>
        </is>
      </c>
      <c r="E205" t="inlineStr">
        <is>
          <t>SKÖVDE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5386-2025</t>
        </is>
      </c>
      <c r="B206" s="1" t="n">
        <v>45692.62754629629</v>
      </c>
      <c r="C206" s="1" t="n">
        <v>46189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4237-2024</t>
        </is>
      </c>
      <c r="B207" s="1" t="n">
        <v>45324</v>
      </c>
      <c r="C207" s="1" t="n">
        <v>46189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12719-2026</t>
        </is>
      </c>
      <c r="B208" s="1" t="n">
        <v>46091.60462962963</v>
      </c>
      <c r="C208" s="1" t="n">
        <v>46189</v>
      </c>
      <c r="D208" t="inlineStr">
        <is>
          <t>VÄSTRA GÖTALANDS LÄN</t>
        </is>
      </c>
      <c r="E208" t="inlineStr">
        <is>
          <t>SKÖVDE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25168-2023</t>
        </is>
      </c>
      <c r="B209" s="1" t="n">
        <v>45086.51451388889</v>
      </c>
      <c r="C209" s="1" t="n">
        <v>46189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35919-2023</t>
        </is>
      </c>
      <c r="B210" s="1" t="n">
        <v>45148.64981481482</v>
      </c>
      <c r="C210" s="1" t="n">
        <v>46189</v>
      </c>
      <c r="D210" t="inlineStr">
        <is>
          <t>VÄSTRA GÖTALANDS LÄN</t>
        </is>
      </c>
      <c r="E210" t="inlineStr">
        <is>
          <t>SKÖVDE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60117-2021</t>
        </is>
      </c>
      <c r="B211" s="1" t="n">
        <v>44495</v>
      </c>
      <c r="C211" s="1" t="n">
        <v>46189</v>
      </c>
      <c r="D211" t="inlineStr">
        <is>
          <t>VÄSTRA GÖTALANDS LÄN</t>
        </is>
      </c>
      <c r="E211" t="inlineStr">
        <is>
          <t>SKÖVDE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14281-2026</t>
        </is>
      </c>
      <c r="B212" s="1" t="n">
        <v>46099</v>
      </c>
      <c r="C212" s="1" t="n">
        <v>46189</v>
      </c>
      <c r="D212" t="inlineStr">
        <is>
          <t>VÄSTRA GÖTALANDS LÄN</t>
        </is>
      </c>
      <c r="E212" t="inlineStr">
        <is>
          <t>SKÖVDE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21687-2026</t>
        </is>
      </c>
      <c r="B213" s="1" t="n">
        <v>46149.5118287037</v>
      </c>
      <c r="C213" s="1" t="n">
        <v>46189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35280-2024</t>
        </is>
      </c>
      <c r="B214" s="1" t="n">
        <v>45530.63609953703</v>
      </c>
      <c r="C214" s="1" t="n">
        <v>46189</v>
      </c>
      <c r="D214" t="inlineStr">
        <is>
          <t>VÄSTRA GÖTALANDS LÄN</t>
        </is>
      </c>
      <c r="E214" t="inlineStr">
        <is>
          <t>SKÖVDE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45210.88792824074</v>
      </c>
      <c r="C215" s="1" t="n">
        <v>46189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3481-2024</t>
        </is>
      </c>
      <c r="B216" s="1" t="n">
        <v>45320</v>
      </c>
      <c r="C216" s="1" t="n">
        <v>46189</v>
      </c>
      <c r="D216" t="inlineStr">
        <is>
          <t>VÄSTRA GÖTALANDS LÄN</t>
        </is>
      </c>
      <c r="E216" t="inlineStr">
        <is>
          <t>SKÖVDE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46401-2023</t>
        </is>
      </c>
      <c r="B217" s="1" t="n">
        <v>45197.49450231482</v>
      </c>
      <c r="C217" s="1" t="n">
        <v>46189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17021-2026</t>
        </is>
      </c>
      <c r="B218" s="1" t="n">
        <v>46114.45498842592</v>
      </c>
      <c r="C218" s="1" t="n">
        <v>46189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4600-2025</t>
        </is>
      </c>
      <c r="B219" s="1" t="n">
        <v>45687</v>
      </c>
      <c r="C219" s="1" t="n">
        <v>46189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49954-2023</t>
        </is>
      </c>
      <c r="B220" s="1" t="n">
        <v>45215.37692129629</v>
      </c>
      <c r="C220" s="1" t="n">
        <v>46189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27671-2022</t>
        </is>
      </c>
      <c r="B221" s="1" t="n">
        <v>44743.39986111111</v>
      </c>
      <c r="C221" s="1" t="n">
        <v>46189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7870-2025</t>
        </is>
      </c>
      <c r="B222" s="1" t="n">
        <v>45706</v>
      </c>
      <c r="C222" s="1" t="n">
        <v>46189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20190-2026</t>
        </is>
      </c>
      <c r="B223" s="1" t="n">
        <v>46139</v>
      </c>
      <c r="C223" s="1" t="n">
        <v>46189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24476-2023</t>
        </is>
      </c>
      <c r="B224" s="1" t="n">
        <v>45082</v>
      </c>
      <c r="C224" s="1" t="n">
        <v>46189</v>
      </c>
      <c r="D224" t="inlineStr">
        <is>
          <t>VÄSTRA GÖTALANDS LÄN</t>
        </is>
      </c>
      <c r="E224" t="inlineStr">
        <is>
          <t>SKÖVDE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14624-2025</t>
        </is>
      </c>
      <c r="B225" s="1" t="n">
        <v>45742.41969907407</v>
      </c>
      <c r="C225" s="1" t="n">
        <v>46189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26733-2023</t>
        </is>
      </c>
      <c r="B226" s="1" t="n">
        <v>45093.41903935185</v>
      </c>
      <c r="C226" s="1" t="n">
        <v>46189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60588-2023</t>
        </is>
      </c>
      <c r="B227" s="1" t="n">
        <v>45259</v>
      </c>
      <c r="C227" s="1" t="n">
        <v>46189</v>
      </c>
      <c r="D227" t="inlineStr">
        <is>
          <t>VÄSTRA GÖTALANDS LÄN</t>
        </is>
      </c>
      <c r="E227" t="inlineStr">
        <is>
          <t>SKÖVDE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18936-2026</t>
        </is>
      </c>
      <c r="B228" s="1" t="n">
        <v>46129.56936342592</v>
      </c>
      <c r="C228" s="1" t="n">
        <v>46189</v>
      </c>
      <c r="D228" t="inlineStr">
        <is>
          <t>VÄSTRA GÖTALANDS LÄN</t>
        </is>
      </c>
      <c r="E228" t="inlineStr">
        <is>
          <t>SKÖVDE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24914-2026</t>
        </is>
      </c>
      <c r="B229" s="1" t="n">
        <v>46174.49211805555</v>
      </c>
      <c r="C229" s="1" t="n">
        <v>46189</v>
      </c>
      <c r="D229" t="inlineStr">
        <is>
          <t>VÄSTRA GÖTALANDS LÄN</t>
        </is>
      </c>
      <c r="E229" t="inlineStr">
        <is>
          <t>SKÖVDE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20602-2025</t>
        </is>
      </c>
      <c r="B230" s="1" t="n">
        <v>45775.79440972222</v>
      </c>
      <c r="C230" s="1" t="n">
        <v>46189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3948-2024</t>
        </is>
      </c>
      <c r="B231" s="1" t="n">
        <v>45322</v>
      </c>
      <c r="C231" s="1" t="n">
        <v>46189</v>
      </c>
      <c r="D231" t="inlineStr">
        <is>
          <t>VÄSTRA GÖTALANDS LÄN</t>
        </is>
      </c>
      <c r="E231" t="inlineStr">
        <is>
          <t>SKÖVDE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22021-2025</t>
        </is>
      </c>
      <c r="B232" s="1" t="n">
        <v>45784</v>
      </c>
      <c r="C232" s="1" t="n">
        <v>46189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23487-2025</t>
        </is>
      </c>
      <c r="B233" s="1" t="n">
        <v>45792.4653587963</v>
      </c>
      <c r="C233" s="1" t="n">
        <v>46189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8606-2025</t>
        </is>
      </c>
      <c r="B234" s="1" t="n">
        <v>45710.38600694444</v>
      </c>
      <c r="C234" s="1" t="n">
        <v>46189</v>
      </c>
      <c r="D234" t="inlineStr">
        <is>
          <t>VÄSTRA GÖTALANDS LÄN</t>
        </is>
      </c>
      <c r="E234" t="inlineStr">
        <is>
          <t>SKÖVDE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14969-2025</t>
        </is>
      </c>
      <c r="B235" s="1" t="n">
        <v>45743.5912962963</v>
      </c>
      <c r="C235" s="1" t="n">
        <v>46189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14964-2025</t>
        </is>
      </c>
      <c r="B236" s="1" t="n">
        <v>45743.58701388889</v>
      </c>
      <c r="C236" s="1" t="n">
        <v>46189</v>
      </c>
      <c r="D236" t="inlineStr">
        <is>
          <t>VÄSTRA GÖTALANDS LÄN</t>
        </is>
      </c>
      <c r="E236" t="inlineStr">
        <is>
          <t>SKÖVDE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9640-2025</t>
        </is>
      </c>
      <c r="B237" s="1" t="n">
        <v>45715.83090277778</v>
      </c>
      <c r="C237" s="1" t="n">
        <v>46189</v>
      </c>
      <c r="D237" t="inlineStr">
        <is>
          <t>VÄSTRA GÖTALANDS LÄN</t>
        </is>
      </c>
      <c r="E237" t="inlineStr">
        <is>
          <t>SKÖVDE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39993-2025</t>
        </is>
      </c>
      <c r="B238" s="1" t="n">
        <v>45894.31541666666</v>
      </c>
      <c r="C238" s="1" t="n">
        <v>46189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35069-2023</t>
        </is>
      </c>
      <c r="B239" s="1" t="n">
        <v>45142</v>
      </c>
      <c r="C239" s="1" t="n">
        <v>46189</v>
      </c>
      <c r="D239" t="inlineStr">
        <is>
          <t>VÄSTRA GÖTALANDS LÄN</t>
        </is>
      </c>
      <c r="E239" t="inlineStr">
        <is>
          <t>SKÖVDE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12972-2025</t>
        </is>
      </c>
      <c r="B240" s="1" t="n">
        <v>45734.43846064815</v>
      </c>
      <c r="C240" s="1" t="n">
        <v>46189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34592-2025</t>
        </is>
      </c>
      <c r="B241" s="1" t="n">
        <v>45847.63085648148</v>
      </c>
      <c r="C241" s="1" t="n">
        <v>46189</v>
      </c>
      <c r="D241" t="inlineStr">
        <is>
          <t>VÄSTRA GÖTALANDS LÄN</t>
        </is>
      </c>
      <c r="E241" t="inlineStr">
        <is>
          <t>SKÖVDE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24186-2025</t>
        </is>
      </c>
      <c r="B242" s="1" t="n">
        <v>45796.82644675926</v>
      </c>
      <c r="C242" s="1" t="n">
        <v>46189</v>
      </c>
      <c r="D242" t="inlineStr">
        <is>
          <t>VÄSTRA GÖTALANDS LÄN</t>
        </is>
      </c>
      <c r="E242" t="inlineStr">
        <is>
          <t>SKÖVDE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24383-2025</t>
        </is>
      </c>
      <c r="B243" s="1" t="n">
        <v>45797.62940972222</v>
      </c>
      <c r="C243" s="1" t="n">
        <v>46189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5658-2024</t>
        </is>
      </c>
      <c r="B244" s="1" t="n">
        <v>45334</v>
      </c>
      <c r="C244" s="1" t="n">
        <v>46189</v>
      </c>
      <c r="D244" t="inlineStr">
        <is>
          <t>VÄSTRA GÖTALANDS LÄN</t>
        </is>
      </c>
      <c r="E244" t="inlineStr">
        <is>
          <t>SKÖVDE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24962-2025</t>
        </is>
      </c>
      <c r="B245" s="1" t="n">
        <v>45799.57716435185</v>
      </c>
      <c r="C245" s="1" t="n">
        <v>46189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25271-2025</t>
        </is>
      </c>
      <c r="B246" s="1" t="n">
        <v>45800.55153935185</v>
      </c>
      <c r="C246" s="1" t="n">
        <v>46189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25639-2025</t>
        </is>
      </c>
      <c r="B247" s="1" t="n">
        <v>45800</v>
      </c>
      <c r="C247" s="1" t="n">
        <v>46189</v>
      </c>
      <c r="D247" t="inlineStr">
        <is>
          <t>VÄSTRA GÖTALANDS LÄN</t>
        </is>
      </c>
      <c r="E247" t="inlineStr">
        <is>
          <t>SKÖVDE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25003-2025</t>
        </is>
      </c>
      <c r="B248" s="1" t="n">
        <v>45799.62331018518</v>
      </c>
      <c r="C248" s="1" t="n">
        <v>46189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25093-2025</t>
        </is>
      </c>
      <c r="B249" s="1" t="n">
        <v>45800.33357638889</v>
      </c>
      <c r="C249" s="1" t="n">
        <v>46189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25642-2025</t>
        </is>
      </c>
      <c r="B250" s="1" t="n">
        <v>45803.60490740741</v>
      </c>
      <c r="C250" s="1" t="n">
        <v>46189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27109-2024</t>
        </is>
      </c>
      <c r="B251" s="1" t="n">
        <v>45471.49974537037</v>
      </c>
      <c r="C251" s="1" t="n">
        <v>46189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5479-2025</t>
        </is>
      </c>
      <c r="B252" s="1" t="n">
        <v>45693.33540509259</v>
      </c>
      <c r="C252" s="1" t="n">
        <v>46189</v>
      </c>
      <c r="D252" t="inlineStr">
        <is>
          <t>VÄSTRA GÖTALANDS LÄN</t>
        </is>
      </c>
      <c r="E252" t="inlineStr">
        <is>
          <t>SKÖVDE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9281-2025</t>
        </is>
      </c>
      <c r="B253" s="1" t="n">
        <v>45714</v>
      </c>
      <c r="C253" s="1" t="n">
        <v>46189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26618-2025</t>
        </is>
      </c>
      <c r="B254" s="1" t="n">
        <v>45810.30840277778</v>
      </c>
      <c r="C254" s="1" t="n">
        <v>46189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26712-2025</t>
        </is>
      </c>
      <c r="B255" s="1" t="n">
        <v>45810.46396990741</v>
      </c>
      <c r="C255" s="1" t="n">
        <v>46189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44867-2022</t>
        </is>
      </c>
      <c r="B256" s="1" t="n">
        <v>44840</v>
      </c>
      <c r="C256" s="1" t="n">
        <v>46189</v>
      </c>
      <c r="D256" t="inlineStr">
        <is>
          <t>VÄSTRA GÖTALANDS LÄN</t>
        </is>
      </c>
      <c r="E256" t="inlineStr">
        <is>
          <t>SKÖVDE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26620-2025</t>
        </is>
      </c>
      <c r="B257" s="1" t="n">
        <v>45810.31511574074</v>
      </c>
      <c r="C257" s="1" t="n">
        <v>46189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24996-2025</t>
        </is>
      </c>
      <c r="B258" s="1" t="n">
        <v>45799.61603009259</v>
      </c>
      <c r="C258" s="1" t="n">
        <v>46189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26614-2025</t>
        </is>
      </c>
      <c r="B259" s="1" t="n">
        <v>45810.30189814815</v>
      </c>
      <c r="C259" s="1" t="n">
        <v>46189</v>
      </c>
      <c r="D259" t="inlineStr">
        <is>
          <t>VÄSTRA GÖTALANDS LÄN</t>
        </is>
      </c>
      <c r="E259" t="inlineStr">
        <is>
          <t>SKÖVDE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26365-2026</t>
        </is>
      </c>
      <c r="B260" s="1" t="n">
        <v>46182.80077546297</v>
      </c>
      <c r="C260" s="1" t="n">
        <v>46189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29341-2025</t>
        </is>
      </c>
      <c r="B261" s="1" t="n">
        <v>45824.5056712963</v>
      </c>
      <c r="C261" s="1" t="n">
        <v>46189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29015-2025</t>
        </is>
      </c>
      <c r="B262" s="1" t="n">
        <v>45821.41212962963</v>
      </c>
      <c r="C262" s="1" t="n">
        <v>46189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29012-2025</t>
        </is>
      </c>
      <c r="B263" s="1" t="n">
        <v>45821.40665509259</v>
      </c>
      <c r="C263" s="1" t="n">
        <v>46189</v>
      </c>
      <c r="D263" t="inlineStr">
        <is>
          <t>VÄSTRA GÖTALANDS LÄN</t>
        </is>
      </c>
      <c r="E263" t="inlineStr">
        <is>
          <t>SKÖVDE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29335-2025</t>
        </is>
      </c>
      <c r="B264" s="1" t="n">
        <v>45824.49121527778</v>
      </c>
      <c r="C264" s="1" t="n">
        <v>46189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29017-2025</t>
        </is>
      </c>
      <c r="B265" s="1" t="n">
        <v>45821.41775462963</v>
      </c>
      <c r="C265" s="1" t="n">
        <v>46189</v>
      </c>
      <c r="D265" t="inlineStr">
        <is>
          <t>VÄSTRA GÖTALANDS LÄN</t>
        </is>
      </c>
      <c r="E265" t="inlineStr">
        <is>
          <t>SKÖVDE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29023-2025</t>
        </is>
      </c>
      <c r="B266" s="1" t="n">
        <v>45821.43002314815</v>
      </c>
      <c r="C266" s="1" t="n">
        <v>46189</v>
      </c>
      <c r="D266" t="inlineStr">
        <is>
          <t>VÄSTRA GÖTALANDS LÄN</t>
        </is>
      </c>
      <c r="E266" t="inlineStr">
        <is>
          <t>SKÖVDE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30150-2025</t>
        </is>
      </c>
      <c r="B267" s="1" t="n">
        <v>45827.31333333333</v>
      </c>
      <c r="C267" s="1" t="n">
        <v>46189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26117-2026</t>
        </is>
      </c>
      <c r="B268" s="1" t="n">
        <v>46181.66653935185</v>
      </c>
      <c r="C268" s="1" t="n">
        <v>46189</v>
      </c>
      <c r="D268" t="inlineStr">
        <is>
          <t>VÄSTRA GÖTALANDS LÄN</t>
        </is>
      </c>
      <c r="E268" t="inlineStr">
        <is>
          <t>SKÖVDE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3951-2024</t>
        </is>
      </c>
      <c r="B269" s="1" t="n">
        <v>45322</v>
      </c>
      <c r="C269" s="1" t="n">
        <v>46189</v>
      </c>
      <c r="D269" t="inlineStr">
        <is>
          <t>VÄSTRA GÖTALANDS LÄN</t>
        </is>
      </c>
      <c r="E269" t="inlineStr">
        <is>
          <t>SKÖVDE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26364-2026</t>
        </is>
      </c>
      <c r="B270" s="1" t="n">
        <v>46182.79328703704</v>
      </c>
      <c r="C270" s="1" t="n">
        <v>46189</v>
      </c>
      <c r="D270" t="inlineStr">
        <is>
          <t>VÄSTRA GÖTALANDS LÄN</t>
        </is>
      </c>
      <c r="E270" t="inlineStr">
        <is>
          <t>SKÖVDE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11917-2024</t>
        </is>
      </c>
      <c r="B271" s="1" t="n">
        <v>45376.60135416667</v>
      </c>
      <c r="C271" s="1" t="n">
        <v>46189</v>
      </c>
      <c r="D271" t="inlineStr">
        <is>
          <t>VÄSTRA GÖTALANDS LÄN</t>
        </is>
      </c>
      <c r="E271" t="inlineStr">
        <is>
          <t>SKÖVDE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33053-2025</t>
        </is>
      </c>
      <c r="B272" s="1" t="n">
        <v>45840.42666666667</v>
      </c>
      <c r="C272" s="1" t="n">
        <v>46189</v>
      </c>
      <c r="D272" t="inlineStr">
        <is>
          <t>VÄSTRA GÖTALANDS LÄN</t>
        </is>
      </c>
      <c r="E272" t="inlineStr">
        <is>
          <t>SKÖVDE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4316-2025</t>
        </is>
      </c>
      <c r="B273" s="1" t="n">
        <v>45685.70467592592</v>
      </c>
      <c r="C273" s="1" t="n">
        <v>46189</v>
      </c>
      <c r="D273" t="inlineStr">
        <is>
          <t>VÄSTRA GÖTALANDS LÄN</t>
        </is>
      </c>
      <c r="E273" t="inlineStr">
        <is>
          <t>SKÖVDE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33861-2025</t>
        </is>
      </c>
      <c r="B274" s="1" t="n">
        <v>45842.52964120371</v>
      </c>
      <c r="C274" s="1" t="n">
        <v>46189</v>
      </c>
      <c r="D274" t="inlineStr">
        <is>
          <t>VÄSTRA GÖTALANDS LÄN</t>
        </is>
      </c>
      <c r="E274" t="inlineStr">
        <is>
          <t>SKÖVDE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34410-2025</t>
        </is>
      </c>
      <c r="B275" s="1" t="n">
        <v>45846.64479166667</v>
      </c>
      <c r="C275" s="1" t="n">
        <v>46189</v>
      </c>
      <c r="D275" t="inlineStr">
        <is>
          <t>VÄSTRA GÖTALANDS LÄN</t>
        </is>
      </c>
      <c r="E275" t="inlineStr">
        <is>
          <t>SKÖVDE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34414-2025</t>
        </is>
      </c>
      <c r="B276" s="1" t="n">
        <v>45846</v>
      </c>
      <c r="C276" s="1" t="n">
        <v>46189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34412-2025</t>
        </is>
      </c>
      <c r="B277" s="1" t="n">
        <v>45846.64696759259</v>
      </c>
      <c r="C277" s="1" t="n">
        <v>46189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5656-2024</t>
        </is>
      </c>
      <c r="B278" s="1" t="n">
        <v>45334</v>
      </c>
      <c r="C278" s="1" t="n">
        <v>46189</v>
      </c>
      <c r="D278" t="inlineStr">
        <is>
          <t>VÄSTRA GÖTALANDS LÄN</t>
        </is>
      </c>
      <c r="E278" t="inlineStr">
        <is>
          <t>SKÖVDE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5656-2024</t>
        </is>
      </c>
      <c r="B279" s="1" t="n">
        <v>45334</v>
      </c>
      <c r="C279" s="1" t="n">
        <v>46189</v>
      </c>
      <c r="D279" t="inlineStr">
        <is>
          <t>VÄSTRA GÖTALANDS LÄN</t>
        </is>
      </c>
      <c r="E279" t="inlineStr">
        <is>
          <t>SKÖVDE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45769.64199074074</v>
      </c>
      <c r="C280" s="1" t="n">
        <v>46189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26804-2026</t>
        </is>
      </c>
      <c r="B281" s="1" t="n">
        <v>46185.33334490741</v>
      </c>
      <c r="C281" s="1" t="n">
        <v>46189</v>
      </c>
      <c r="D281" t="inlineStr">
        <is>
          <t>VÄSTRA GÖTALANDS LÄN</t>
        </is>
      </c>
      <c r="E281" t="inlineStr">
        <is>
          <t>SKÖVDE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26914-2026</t>
        </is>
      </c>
      <c r="B282" s="1" t="n">
        <v>46185</v>
      </c>
      <c r="C282" s="1" t="n">
        <v>46189</v>
      </c>
      <c r="D282" t="inlineStr">
        <is>
          <t>VÄSTRA GÖTALANDS LÄN</t>
        </is>
      </c>
      <c r="E282" t="inlineStr">
        <is>
          <t>SKÖVDE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26800-2026</t>
        </is>
      </c>
      <c r="B283" s="1" t="n">
        <v>46185.31928240741</v>
      </c>
      <c r="C283" s="1" t="n">
        <v>46189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2026-06-16T12:57:35Z</dcterms:created>
  <dcterms:modified xmlns:dcterms="http://purl.org/dc/terms/" xmlns:xsi="http://www.w3.org/2001/XMLSchema-instance" xsi:type="dcterms:W3CDTF">2026-06-16T12:57:36Z</dcterms:modified>
</cp:coreProperties>
</file>