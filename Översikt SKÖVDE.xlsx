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45698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45698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45698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45698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45698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45698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45698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45698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45698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45698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45698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45698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45698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45698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45698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45698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45698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45698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45698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45698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45698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45698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45698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45698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45698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45698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45698</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45698</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45698</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45698</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45698</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45698</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45698</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45698</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45698</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45698</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45698</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45698</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45698</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45698</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45698</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45698</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45698</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45698</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45698</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45698</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45698</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45698</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45698</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45698</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45698</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45698</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45698</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45698</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45698</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45698</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45698</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45698</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45698</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45698</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45698</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45698</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45698</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45698</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45698</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45698</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45698</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45698</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45698</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45698</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45698</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45698</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45698</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45698</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45698</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45698</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45698</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45698</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45698</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45698</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45698</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45698</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45698</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45698</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45698</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45698</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45698</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45698</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45698</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45698</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45698</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45698</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45698</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45698</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45698</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45698</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45698</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45698</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45698</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45698</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45698</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45698</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45698</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45698</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45698</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45698</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45698</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45698</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45698</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45698</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45698</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45698</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45698</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45698</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45698</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45698</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45698</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45698</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45698</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45698</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45698</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45698</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45698</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45698</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45698</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45698</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45698</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45698</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45698</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45698</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45698</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45698</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45698</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45698</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45698</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45698</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45698</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45698</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45698</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45698</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45698</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45698</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45698</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45698</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45698</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45698</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45698</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45698</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45698</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45698</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45698</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45698</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45698</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45698</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45698</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45698</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45698</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45698</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45698</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45698</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45698</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45698</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45698</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45698</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45698</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45698</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45698</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45698</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45698</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45698</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45698</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45698</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45698</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45698</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45698</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45698</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45698</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45698</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45698</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45698</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45698</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45698</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45698</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45698</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45698</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45698</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45698</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45698</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45698</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45698</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45698</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45698</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45698</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45698</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45698</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45698</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45698</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45698</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45698</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45698</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45698</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45698</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45698</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45698</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45698</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45698</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45698</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45698</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45698</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45698</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45698</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45698</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45698</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45698</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45698</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45698</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45698</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45698</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45698</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45698</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45698</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45698</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45698</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45698</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45698</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45698</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45698</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45698</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45698</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45698</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45698</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45698</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45698</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45698</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45698</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45698</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45698</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45698</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45698</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45698</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45698</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45698</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45698</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45698</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45698</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45698</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45698</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45698</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45698</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45698</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45698</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45698</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45698</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45698</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45698</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45698</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45698</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45698</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45698</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45698</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45698</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45698</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45698</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45698</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45698</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45698</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45698</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45698</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45698</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45698</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45698</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45698</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45698</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45698</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45698</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45698</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45698</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45698</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45698</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45698</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45698</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45698</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45698</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45698</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45698</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45698</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45698</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45698</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45698</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45698</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45698</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45698</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45698</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45698</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45698</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45698</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45698</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45698</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45698</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45698</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45698</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45698</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45698</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45698</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45698</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45698</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45698</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45698</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45698</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45698</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45698</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45698</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45698</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45698</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45698</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45698</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45698</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45698</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45698</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45698</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45698</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45698</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45698</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45698</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45698</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45698</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45698</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45698</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45698</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45698</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45698</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45698</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45698</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45698</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45698</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45698</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45698</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45698</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45698</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45698</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45698</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45698</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45698</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45698</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45698</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45698</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45698</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45698</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45698</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45698</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45698</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45698</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45698</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45698</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45698</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45698</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45698</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45698</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45698</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45698</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45698</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45698</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45698</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45698</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45698</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45698</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45698</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45698</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45698</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45698</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45698</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45698</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45698</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45698</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45698</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45698</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45698</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45698</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45698</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45698</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45698</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45698</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45698</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45698</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45698</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45698</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45698</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45698</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45698</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45698</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45698</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45698</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45698</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45698</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45698</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45698</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45698</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45698</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45698</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45698</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45698</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45698</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45698</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45698</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45698</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45698</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45698</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45698</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45698</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45698</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45698</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45698</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45698</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45698</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45698</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45698</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45698</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45698</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45698</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45698</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45698</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45698</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45698</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45698</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45698</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45698</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45698</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45698</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45698</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45698</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738-2025</t>
        </is>
      </c>
      <c r="B433" s="1" t="n">
        <v>45665</v>
      </c>
      <c r="C433" s="1" t="n">
        <v>45698</v>
      </c>
      <c r="D433" t="inlineStr">
        <is>
          <t>VÄSTRA GÖTALANDS LÄN</t>
        </is>
      </c>
      <c r="E433" t="inlineStr">
        <is>
          <t>SKÖVDE</t>
        </is>
      </c>
      <c r="G433" t="n">
        <v>1.6</v>
      </c>
      <c r="H433" t="n">
        <v>0</v>
      </c>
      <c r="I433" t="n">
        <v>0</v>
      </c>
      <c r="J433" t="n">
        <v>0</v>
      </c>
      <c r="K433" t="n">
        <v>0</v>
      </c>
      <c r="L433" t="n">
        <v>0</v>
      </c>
      <c r="M433" t="n">
        <v>0</v>
      </c>
      <c r="N433" t="n">
        <v>0</v>
      </c>
      <c r="O433" t="n">
        <v>0</v>
      </c>
      <c r="P433" t="n">
        <v>0</v>
      </c>
      <c r="Q433" t="n">
        <v>0</v>
      </c>
      <c r="R433" s="2" t="inlineStr"/>
    </row>
    <row r="434" ht="15" customHeight="1">
      <c r="A434" t="inlineStr">
        <is>
          <t>A 830-2025</t>
        </is>
      </c>
      <c r="B434" s="1" t="n">
        <v>45665</v>
      </c>
      <c r="C434" s="1" t="n">
        <v>45698</v>
      </c>
      <c r="D434" t="inlineStr">
        <is>
          <t>VÄSTRA GÖTALANDS LÄN</t>
        </is>
      </c>
      <c r="E434" t="inlineStr">
        <is>
          <t>SKÖVDE</t>
        </is>
      </c>
      <c r="G434" t="n">
        <v>3.8</v>
      </c>
      <c r="H434" t="n">
        <v>0</v>
      </c>
      <c r="I434" t="n">
        <v>0</v>
      </c>
      <c r="J434" t="n">
        <v>0</v>
      </c>
      <c r="K434" t="n">
        <v>0</v>
      </c>
      <c r="L434" t="n">
        <v>0</v>
      </c>
      <c r="M434" t="n">
        <v>0</v>
      </c>
      <c r="N434" t="n">
        <v>0</v>
      </c>
      <c r="O434" t="n">
        <v>0</v>
      </c>
      <c r="P434" t="n">
        <v>0</v>
      </c>
      <c r="Q434" t="n">
        <v>0</v>
      </c>
      <c r="R434" s="2" t="inlineStr"/>
    </row>
    <row r="435" ht="15" customHeight="1">
      <c r="A435" t="inlineStr">
        <is>
          <t>A 832-2025</t>
        </is>
      </c>
      <c r="B435" s="1" t="n">
        <v>45665</v>
      </c>
      <c r="C435" s="1" t="n">
        <v>45698</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45698</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1618-2025</t>
        </is>
      </c>
      <c r="B437" s="1" t="n">
        <v>45670</v>
      </c>
      <c r="C437" s="1" t="n">
        <v>45698</v>
      </c>
      <c r="D437" t="inlineStr">
        <is>
          <t>VÄSTRA GÖTALANDS LÄN</t>
        </is>
      </c>
      <c r="E437" t="inlineStr">
        <is>
          <t>SKÖVDE</t>
        </is>
      </c>
      <c r="G437" t="n">
        <v>3.7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45698</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45698</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4316-2025</t>
        </is>
      </c>
      <c r="B440" s="1" t="n">
        <v>45685</v>
      </c>
      <c r="C440" s="1" t="n">
        <v>45698</v>
      </c>
      <c r="D440" t="inlineStr">
        <is>
          <t>VÄSTRA GÖTALANDS LÄN</t>
        </is>
      </c>
      <c r="E440" t="inlineStr">
        <is>
          <t>SKÖVDE</t>
        </is>
      </c>
      <c r="G440" t="n">
        <v>1.3</v>
      </c>
      <c r="H440" t="n">
        <v>0</v>
      </c>
      <c r="I440" t="n">
        <v>0</v>
      </c>
      <c r="J440" t="n">
        <v>0</v>
      </c>
      <c r="K440" t="n">
        <v>0</v>
      </c>
      <c r="L440" t="n">
        <v>0</v>
      </c>
      <c r="M440" t="n">
        <v>0</v>
      </c>
      <c r="N440" t="n">
        <v>0</v>
      </c>
      <c r="O440" t="n">
        <v>0</v>
      </c>
      <c r="P440" t="n">
        <v>0</v>
      </c>
      <c r="Q440" t="n">
        <v>0</v>
      </c>
      <c r="R440" s="2" t="inlineStr"/>
    </row>
    <row r="441" ht="15" customHeight="1">
      <c r="A441" t="inlineStr">
        <is>
          <t>A 4322-2025</t>
        </is>
      </c>
      <c r="B441" s="1" t="n">
        <v>45685</v>
      </c>
      <c r="C441" s="1" t="n">
        <v>45698</v>
      </c>
      <c r="D441" t="inlineStr">
        <is>
          <t>VÄSTRA GÖTALANDS LÄN</t>
        </is>
      </c>
      <c r="E441" t="inlineStr">
        <is>
          <t>SKÖVDE</t>
        </is>
      </c>
      <c r="G441" t="n">
        <v>2.1</v>
      </c>
      <c r="H441" t="n">
        <v>0</v>
      </c>
      <c r="I441" t="n">
        <v>0</v>
      </c>
      <c r="J441" t="n">
        <v>0</v>
      </c>
      <c r="K441" t="n">
        <v>0</v>
      </c>
      <c r="L441" t="n">
        <v>0</v>
      </c>
      <c r="M441" t="n">
        <v>0</v>
      </c>
      <c r="N441" t="n">
        <v>0</v>
      </c>
      <c r="O441" t="n">
        <v>0</v>
      </c>
      <c r="P441" t="n">
        <v>0</v>
      </c>
      <c r="Q441" t="n">
        <v>0</v>
      </c>
      <c r="R441" s="2" t="inlineStr"/>
      <c r="U441">
        <f>HYPERLINK("https://klasma.github.io/Logging_1496/knärot/A 4322-2025 karta knärot.png", "A 4322-2025")</f>
        <v/>
      </c>
      <c r="V441">
        <f>HYPERLINK("https://klasma.github.io/Logging_1496/klagomål/A 4322-2025 FSC-klagomål.docx", "A 4322-2025")</f>
        <v/>
      </c>
      <c r="W441">
        <f>HYPERLINK("https://klasma.github.io/Logging_1496/klagomålsmail/A 4322-2025 FSC-klagomål mail.docx", "A 4322-2025")</f>
        <v/>
      </c>
      <c r="X441">
        <f>HYPERLINK("https://klasma.github.io/Logging_1496/tillsyn/A 4322-2025 tillsynsbegäran.docx", "A 4322-2025")</f>
        <v/>
      </c>
      <c r="Y441">
        <f>HYPERLINK("https://klasma.github.io/Logging_1496/tillsynsmail/A 4322-2025 tillsynsbegäran mail.docx", "A 4322-2025")</f>
        <v/>
      </c>
    </row>
    <row r="442" ht="15" customHeight="1">
      <c r="A442" t="inlineStr">
        <is>
          <t>A 4325-2025</t>
        </is>
      </c>
      <c r="B442" s="1" t="n">
        <v>45685</v>
      </c>
      <c r="C442" s="1" t="n">
        <v>45698</v>
      </c>
      <c r="D442" t="inlineStr">
        <is>
          <t>VÄSTRA GÖTALANDS LÄN</t>
        </is>
      </c>
      <c r="E442" t="inlineStr">
        <is>
          <t>SKÖVDE</t>
        </is>
      </c>
      <c r="G442" t="n">
        <v>2.7</v>
      </c>
      <c r="H442" t="n">
        <v>0</v>
      </c>
      <c r="I442" t="n">
        <v>0</v>
      </c>
      <c r="J442" t="n">
        <v>0</v>
      </c>
      <c r="K442" t="n">
        <v>0</v>
      </c>
      <c r="L442" t="n">
        <v>0</v>
      </c>
      <c r="M442" t="n">
        <v>0</v>
      </c>
      <c r="N442" t="n">
        <v>0</v>
      </c>
      <c r="O442" t="n">
        <v>0</v>
      </c>
      <c r="P442" t="n">
        <v>0</v>
      </c>
      <c r="Q442" t="n">
        <v>0</v>
      </c>
      <c r="R442" s="2" t="inlineStr"/>
    </row>
    <row r="443" ht="15" customHeight="1">
      <c r="A443" t="inlineStr">
        <is>
          <t>A 4600-2025</t>
        </is>
      </c>
      <c r="B443" s="1" t="n">
        <v>45687</v>
      </c>
      <c r="C443" s="1" t="n">
        <v>45698</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row r="444" ht="15" customHeight="1">
      <c r="A444" t="inlineStr">
        <is>
          <t>A 5386-2025</t>
        </is>
      </c>
      <c r="B444" s="1" t="n">
        <v>45692</v>
      </c>
      <c r="C444" s="1" t="n">
        <v>45698</v>
      </c>
      <c r="D444" t="inlineStr">
        <is>
          <t>VÄSTRA GÖTALANDS LÄN</t>
        </is>
      </c>
      <c r="E444" t="inlineStr">
        <is>
          <t>SKÖVDE</t>
        </is>
      </c>
      <c r="G444" t="n">
        <v>0.8</v>
      </c>
      <c r="H444" t="n">
        <v>0</v>
      </c>
      <c r="I444" t="n">
        <v>0</v>
      </c>
      <c r="J444" t="n">
        <v>0</v>
      </c>
      <c r="K444" t="n">
        <v>0</v>
      </c>
      <c r="L444" t="n">
        <v>0</v>
      </c>
      <c r="M444" t="n">
        <v>0</v>
      </c>
      <c r="N444" t="n">
        <v>0</v>
      </c>
      <c r="O444" t="n">
        <v>0</v>
      </c>
      <c r="P444" t="n">
        <v>0</v>
      </c>
      <c r="Q444" t="n">
        <v>0</v>
      </c>
      <c r="R444" s="2" t="inlineStr"/>
    </row>
    <row r="445" ht="15" customHeight="1">
      <c r="A445" t="inlineStr">
        <is>
          <t>A 5467-2025</t>
        </is>
      </c>
      <c r="B445" s="1" t="n">
        <v>45693</v>
      </c>
      <c r="C445" s="1" t="n">
        <v>45698</v>
      </c>
      <c r="D445" t="inlineStr">
        <is>
          <t>VÄSTRA GÖTALANDS LÄN</t>
        </is>
      </c>
      <c r="E445" t="inlineStr">
        <is>
          <t>SKÖVDE</t>
        </is>
      </c>
      <c r="G445" t="n">
        <v>1.1</v>
      </c>
      <c r="H445" t="n">
        <v>0</v>
      </c>
      <c r="I445" t="n">
        <v>0</v>
      </c>
      <c r="J445" t="n">
        <v>0</v>
      </c>
      <c r="K445" t="n">
        <v>0</v>
      </c>
      <c r="L445" t="n">
        <v>0</v>
      </c>
      <c r="M445" t="n">
        <v>0</v>
      </c>
      <c r="N445" t="n">
        <v>0</v>
      </c>
      <c r="O445" t="n">
        <v>0</v>
      </c>
      <c r="P445" t="n">
        <v>0</v>
      </c>
      <c r="Q445" t="n">
        <v>0</v>
      </c>
      <c r="R445" s="2" t="inlineStr"/>
    </row>
    <row r="446" ht="15" customHeight="1">
      <c r="A446" t="inlineStr">
        <is>
          <t>A 5471-2025</t>
        </is>
      </c>
      <c r="B446" s="1" t="n">
        <v>45693</v>
      </c>
      <c r="C446" s="1" t="n">
        <v>45698</v>
      </c>
      <c r="D446" t="inlineStr">
        <is>
          <t>VÄSTRA GÖTALANDS LÄN</t>
        </is>
      </c>
      <c r="E446" t="inlineStr">
        <is>
          <t>SKÖVDE</t>
        </is>
      </c>
      <c r="G446" t="n">
        <v>0.7</v>
      </c>
      <c r="H446" t="n">
        <v>0</v>
      </c>
      <c r="I446" t="n">
        <v>0</v>
      </c>
      <c r="J446" t="n">
        <v>0</v>
      </c>
      <c r="K446" t="n">
        <v>0</v>
      </c>
      <c r="L446" t="n">
        <v>0</v>
      </c>
      <c r="M446" t="n">
        <v>0</v>
      </c>
      <c r="N446" t="n">
        <v>0</v>
      </c>
      <c r="O446" t="n">
        <v>0</v>
      </c>
      <c r="P446" t="n">
        <v>0</v>
      </c>
      <c r="Q446" t="n">
        <v>0</v>
      </c>
      <c r="R446" s="2" t="inlineStr"/>
    </row>
    <row r="447" ht="15" customHeight="1">
      <c r="A447" t="inlineStr">
        <is>
          <t>A 5479-2025</t>
        </is>
      </c>
      <c r="B447" s="1" t="n">
        <v>45693</v>
      </c>
      <c r="C447" s="1" t="n">
        <v>45698</v>
      </c>
      <c r="D447" t="inlineStr">
        <is>
          <t>VÄSTRA GÖTALANDS LÄN</t>
        </is>
      </c>
      <c r="E447" t="inlineStr">
        <is>
          <t>SKÖVDE</t>
        </is>
      </c>
      <c r="G447" t="n">
        <v>2.7</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45698</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45698</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45698</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45698</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5464-2025</t>
        </is>
      </c>
      <c r="B452" s="1" t="n">
        <v>45693</v>
      </c>
      <c r="C452" s="1" t="n">
        <v>45698</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5472-2025</t>
        </is>
      </c>
      <c r="B453" s="1" t="n">
        <v>45693</v>
      </c>
      <c r="C453" s="1" t="n">
        <v>45698</v>
      </c>
      <c r="D453" t="inlineStr">
        <is>
          <t>VÄSTRA GÖTALANDS LÄN</t>
        </is>
      </c>
      <c r="E453" t="inlineStr">
        <is>
          <t>SKÖVDE</t>
        </is>
      </c>
      <c r="G453" t="n">
        <v>2.1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45698</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5465-2025</t>
        </is>
      </c>
      <c r="B455" s="1" t="n">
        <v>45693</v>
      </c>
      <c r="C455" s="1" t="n">
        <v>45698</v>
      </c>
      <c r="D455" t="inlineStr">
        <is>
          <t>VÄSTRA GÖTALANDS LÄN</t>
        </is>
      </c>
      <c r="E455" t="inlineStr">
        <is>
          <t>SKÖVDE</t>
        </is>
      </c>
      <c r="G455" t="n">
        <v>1</v>
      </c>
      <c r="H455" t="n">
        <v>0</v>
      </c>
      <c r="I455" t="n">
        <v>0</v>
      </c>
      <c r="J455" t="n">
        <v>0</v>
      </c>
      <c r="K455" t="n">
        <v>0</v>
      </c>
      <c r="L455" t="n">
        <v>0</v>
      </c>
      <c r="M455" t="n">
        <v>0</v>
      </c>
      <c r="N455" t="n">
        <v>0</v>
      </c>
      <c r="O455" t="n">
        <v>0</v>
      </c>
      <c r="P455" t="n">
        <v>0</v>
      </c>
      <c r="Q455" t="n">
        <v>0</v>
      </c>
      <c r="R455" s="2" t="inlineStr"/>
    </row>
    <row r="456" ht="15" customHeight="1">
      <c r="A456" t="inlineStr">
        <is>
          <t>A 5469-2025</t>
        </is>
      </c>
      <c r="B456" s="1" t="n">
        <v>45693</v>
      </c>
      <c r="C456" s="1" t="n">
        <v>45698</v>
      </c>
      <c r="D456" t="inlineStr">
        <is>
          <t>VÄSTRA GÖTALANDS LÄN</t>
        </is>
      </c>
      <c r="E456" t="inlineStr">
        <is>
          <t>SKÖVDE</t>
        </is>
      </c>
      <c r="G456" t="n">
        <v>0.8</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45698</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45698</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5717-2025</t>
        </is>
      </c>
      <c r="B459" s="1" t="n">
        <v>45694</v>
      </c>
      <c r="C459" s="1" t="n">
        <v>45698</v>
      </c>
      <c r="D459" t="inlineStr">
        <is>
          <t>VÄSTRA GÖTALANDS LÄN</t>
        </is>
      </c>
      <c r="E459" t="inlineStr">
        <is>
          <t>SKÖVDE</t>
        </is>
      </c>
      <c r="G459" t="n">
        <v>1.4</v>
      </c>
      <c r="H459" t="n">
        <v>0</v>
      </c>
      <c r="I459" t="n">
        <v>0</v>
      </c>
      <c r="J459" t="n">
        <v>0</v>
      </c>
      <c r="K459" t="n">
        <v>0</v>
      </c>
      <c r="L459" t="n">
        <v>0</v>
      </c>
      <c r="M459" t="n">
        <v>0</v>
      </c>
      <c r="N459" t="n">
        <v>0</v>
      </c>
      <c r="O459" t="n">
        <v>0</v>
      </c>
      <c r="P459" t="n">
        <v>0</v>
      </c>
      <c r="Q459" t="n">
        <v>0</v>
      </c>
      <c r="R459" s="2" t="inlineStr"/>
    </row>
    <row r="460">
      <c r="A460" t="inlineStr">
        <is>
          <t>A 5714-2025</t>
        </is>
      </c>
      <c r="B460" s="1" t="n">
        <v>45694</v>
      </c>
      <c r="C460" s="1" t="n">
        <v>45698</v>
      </c>
      <c r="D460" t="inlineStr">
        <is>
          <t>VÄSTRA GÖTALANDS LÄN</t>
        </is>
      </c>
      <c r="E460" t="inlineStr">
        <is>
          <t>SKÖVDE</t>
        </is>
      </c>
      <c r="G460" t="n">
        <v>1.1</v>
      </c>
      <c r="H460" t="n">
        <v>0</v>
      </c>
      <c r="I460" t="n">
        <v>0</v>
      </c>
      <c r="J460" t="n">
        <v>0</v>
      </c>
      <c r="K460" t="n">
        <v>0</v>
      </c>
      <c r="L460" t="n">
        <v>0</v>
      </c>
      <c r="M460" t="n">
        <v>0</v>
      </c>
      <c r="N460" t="n">
        <v>0</v>
      </c>
      <c r="O460" t="n">
        <v>0</v>
      </c>
      <c r="P460" t="n">
        <v>0</v>
      </c>
      <c r="Q460" t="n">
        <v>0</v>
      </c>
      <c r="R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2025-02-10T16:53:40Z</dcterms:created>
  <dcterms:modified xmlns:dcterms="http://purl.org/dc/terms/" xmlns:xsi="http://www.w3.org/2001/XMLSchema-instance" xsi:type="dcterms:W3CDTF">2025-02-10T16:53:40Z</dcterms:modified>
</cp:coreProperties>
</file>