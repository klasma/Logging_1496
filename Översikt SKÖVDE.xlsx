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46277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46277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46277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46277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46277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46277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46277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46277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46277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46277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46277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46277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46277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46277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46277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46277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46277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46277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46277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46277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Borsttåg
Ängsstarr
Purpurknipprot</t>
        </is>
      </c>
      <c r="W25">
        <f>HYPERLINK("https://klasma.github.io/Logging_1496/artfynd/A 100-2023 artfynd.xlsx", "A 100-2023")</f>
        <v/>
      </c>
      <c r="X25">
        <f>HYPERLINK("https://klasma.github.io/Logging_1496/kartor/A 100-2023 karta.png", "A 100-2023")</f>
        <v/>
      </c>
      <c r="Y25">
        <f>HYPERLINK("https://klasma.github.io/Logging_1496/kartor_geotiff/A 100-2023 georefererad karta.tif", "A 100-2023")</f>
        <v/>
      </c>
      <c r="AA25">
        <f>HYPERLINK("https://klasma.github.io/Logging_1496/klagomål/A 100-2023 FSC-klagomål.docx", "A 100-2023")</f>
        <v/>
      </c>
      <c r="AB25">
        <f>HYPERLINK("https://klasma.github.io/Logging_1496/klagomålsmail/A 100-2023 FSC-klagomål mail.docx", "A 100-2023")</f>
        <v/>
      </c>
      <c r="AC25">
        <f>HYPERLINK("https://klasma.github.io/Logging_1496/tillsyn/A 100-2023 tillsynsbegäran.docx", "A 100-2023")</f>
        <v/>
      </c>
      <c r="AD25">
        <f>HYPERLINK("https://klasma.github.io/Logging_1496/tillsynsmail/A 100-2023 tillsynsbegäran mail.docx", "A 100-2023")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46277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42017-2025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45903</v>
      </c>
      <c r="E27" s="1" t="n">
        <v>46277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Mattlummer</t>
        </is>
      </c>
      <c r="W27">
        <f>HYPERLINK("https://klasma.github.io/Logging_1496/artfynd/A 42017-2025 artfynd.xlsx", "A 42017-2025")</f>
        <v/>
      </c>
      <c r="X27">
        <f>HYPERLINK("https://klasma.github.io/Logging_1496/kartor/A 42017-2025 karta.png", "A 42017-2025")</f>
        <v/>
      </c>
      <c r="Y27">
        <f>HYPERLINK("https://klasma.github.io/Logging_1496/kartor_geotiff/A 42017-2025 georefererad karta.tif", "A 42017-2025")</f>
        <v/>
      </c>
      <c r="AA27">
        <f>HYPERLINK("https://klasma.github.io/Logging_1496/klagomål/A 42017-2025 FSC-klagomål.docx", "A 42017-2025")</f>
        <v/>
      </c>
      <c r="AB27">
        <f>HYPERLINK("https://klasma.github.io/Logging_1496/klagomålsmail/A 42017-2025 FSC-klagomål mail.docx", "A 42017-2025")</f>
        <v/>
      </c>
      <c r="AC27">
        <f>HYPERLINK("https://klasma.github.io/Logging_1496/tillsyn/A 42017-2025 tillsynsbegäran.docx", "A 42017-2025")</f>
        <v/>
      </c>
      <c r="AD27">
        <f>HYPERLINK("https://klasma.github.io/Logging_1496/tillsynsmail/A 42017-2025 tillsynsbegäran mail.docx", "A 42017-2025")</f>
        <v/>
      </c>
    </row>
    <row r="28" ht="15" customHeight="1">
      <c r="A28" t="inlineStr">
        <is>
          <t>A 60172-2021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46277</v>
      </c>
      <c r="F28" t="inlineStr">
        <is>
          <t>VÄSTRA GÖTALANDS LÄN</t>
        </is>
      </c>
      <c r="G28" t="inlineStr">
        <is>
          <t>SKÖVDE</t>
        </is>
      </c>
      <c r="I28" t="n">
        <v>1.4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Skogsbräsma
Fläcknycklar</t>
        </is>
      </c>
      <c r="W28">
        <f>HYPERLINK("https://klasma.github.io/Logging_1496/artfynd/A 60172-2021 artfynd.xlsx", "A 60172-2021")</f>
        <v/>
      </c>
      <c r="X28">
        <f>HYPERLINK("https://klasma.github.io/Logging_1496/kartor/A 60172-2021 karta.png", "A 60172-2021")</f>
        <v/>
      </c>
      <c r="Y28">
        <f>HYPERLINK("https://klasma.github.io/Logging_1496/kartor_geotiff/A 60172-2021 georefererad karta.tif", "A 60172-2021")</f>
        <v/>
      </c>
      <c r="AA28">
        <f>HYPERLINK("https://klasma.github.io/Logging_1496/klagomål/A 60172-2021 FSC-klagomål.docx", "A 60172-2021")</f>
        <v/>
      </c>
      <c r="AB28">
        <f>HYPERLINK("https://klasma.github.io/Logging_1496/klagomålsmail/A 60172-2021 FSC-klagomål mail.docx", "A 60172-2021")</f>
        <v/>
      </c>
      <c r="AC28">
        <f>HYPERLINK("https://klasma.github.io/Logging_1496/tillsyn/A 60172-2021 tillsynsbegäran.docx", "A 60172-2021")</f>
        <v/>
      </c>
      <c r="AD28">
        <f>HYPERLINK("https://klasma.github.io/Logging_1496/tillsynsmail/A 60172-2021 tillsynsbegäran mail.docx", "A 60172-2021")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46277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46277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46277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46277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46277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46277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46277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46277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46277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25093-2025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45800</v>
      </c>
      <c r="E38" s="1" t="n">
        <v>46277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Ask
Skogsalm</t>
        </is>
      </c>
      <c r="W38">
        <f>HYPERLINK("https://klasma.github.io/Logging_1496/artfynd/A 25093-2025 artfynd.xlsx", "A 25093-2025")</f>
        <v/>
      </c>
      <c r="X38">
        <f>HYPERLINK("https://klasma.github.io/Logging_1496/kartor/A 25093-2025 karta.png", "A 25093-2025")</f>
        <v/>
      </c>
      <c r="Y38">
        <f>HYPERLINK("https://klasma.github.io/Logging_1496/kartor_geotiff/A 25093-2025 georefererad karta.tif", "A 25093-2025")</f>
        <v/>
      </c>
      <c r="AA38">
        <f>HYPERLINK("https://klasma.github.io/Logging_1496/klagomål/A 25093-2025 FSC-klagomål.docx", "A 25093-2025")</f>
        <v/>
      </c>
      <c r="AB38">
        <f>HYPERLINK("https://klasma.github.io/Logging_1496/klagomålsmail/A 25093-2025 FSC-klagomål mail.docx", "A 25093-2025")</f>
        <v/>
      </c>
      <c r="AC38">
        <f>HYPERLINK("https://klasma.github.io/Logging_1496/tillsyn/A 25093-2025 tillsynsbegäran.docx", "A 25093-2025")</f>
        <v/>
      </c>
      <c r="AD38">
        <f>HYPERLINK("https://klasma.github.io/Logging_1496/tillsynsmail/A 25093-2025 tillsynsbegäran mail.docx", "A 25093-2025")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46277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46277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46277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47869-2025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45932</v>
      </c>
      <c r="E42" s="1" t="n">
        <v>46277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HYPERLINK("https://klasma.github.io/Logging_1496/artfynd/A 47869-2025 artfynd.xlsx", "A 47869-2025")</f>
        <v/>
      </c>
      <c r="X42">
        <f>HYPERLINK("https://klasma.github.io/Logging_1496/kartor/A 47869-2025 karta.png", "A 47869-2025")</f>
        <v/>
      </c>
      <c r="Y42">
        <f>HYPERLINK("https://klasma.github.io/Logging_1496/kartor_geotiff/A 47869-2025 georefererad karta.tif", "A 47869-2025")</f>
        <v/>
      </c>
      <c r="AA42">
        <f>HYPERLINK("https://klasma.github.io/Logging_1496/klagomål/A 47869-2025 FSC-klagomål.docx", "A 47869-2025")</f>
        <v/>
      </c>
      <c r="AB42">
        <f>HYPERLINK("https://klasma.github.io/Logging_1496/klagomålsmail/A 47869-2025 FSC-klagomål mail.docx", "A 47869-2025")</f>
        <v/>
      </c>
      <c r="AC42">
        <f>HYPERLINK("https://klasma.github.io/Logging_1496/tillsyn/A 47869-2025 tillsynsbegäran.docx", "A 47869-2025")</f>
        <v/>
      </c>
      <c r="AD42">
        <f>HYPERLINK("https://klasma.github.io/Logging_1496/tillsynsmail/A 47869-2025 tillsynsbegäran mail.docx", "A 47869-2025")</f>
        <v/>
      </c>
    </row>
    <row r="43" ht="15" customHeight="1">
      <c r="A43" t="inlineStr">
        <is>
          <t>A 61213-2024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46277</v>
      </c>
      <c r="F43" t="inlineStr">
        <is>
          <t>VÄSTRA GÖTALANDS LÄN</t>
        </is>
      </c>
      <c r="G43" t="inlineStr">
        <is>
          <t>SKÖVDE</t>
        </is>
      </c>
      <c r="I43" t="n">
        <v>2.5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61213-2024 artfynd.xlsx", "A 61213-2024")</f>
        <v/>
      </c>
      <c r="X43">
        <f>HYPERLINK("https://klasma.github.io/Logging_1496/kartor/A 61213-2024 karta.png", "A 61213-2024")</f>
        <v/>
      </c>
      <c r="Y43">
        <f>HYPERLINK("https://klasma.github.io/Logging_1496/kartor_geotiff/A 61213-2024 georefererad karta.tif", "A 61213-2024")</f>
        <v/>
      </c>
      <c r="AA43">
        <f>HYPERLINK("https://klasma.github.io/Logging_1496/klagomål/A 61213-2024 FSC-klagomål.docx", "A 61213-2024")</f>
        <v/>
      </c>
      <c r="AB43">
        <f>HYPERLINK("https://klasma.github.io/Logging_1496/klagomålsmail/A 61213-2024 FSC-klagomål mail.docx", "A 61213-2024")</f>
        <v/>
      </c>
      <c r="AC43">
        <f>HYPERLINK("https://klasma.github.io/Logging_1496/tillsyn/A 61213-2024 tillsynsbegäran.docx", "A 61213-2024")</f>
        <v/>
      </c>
      <c r="AD43">
        <f>HYPERLINK("https://klasma.github.io/Logging_1496/tillsynsmail/A 61213-2024 tillsynsbegäran mail.docx", "A 61213-2024")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46277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29011-2023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45104</v>
      </c>
      <c r="E45" s="1" t="n">
        <v>46277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5.4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Skogsbräsma</t>
        </is>
      </c>
      <c r="W45">
        <f>HYPERLINK("https://klasma.github.io/Logging_1496/artfynd/A 29011-2023 artfynd.xlsx", "A 29011-2023")</f>
        <v/>
      </c>
      <c r="X45">
        <f>HYPERLINK("https://klasma.github.io/Logging_1496/kartor/A 29011-2023 karta.png", "A 29011-2023")</f>
        <v/>
      </c>
      <c r="Y45">
        <f>HYPERLINK("https://klasma.github.io/Logging_1496/kartor_geotiff/A 29011-2023 georefererad karta.tif", "A 29011-2023")</f>
        <v/>
      </c>
      <c r="AA45">
        <f>HYPERLINK("https://klasma.github.io/Logging_1496/klagomål/A 29011-2023 FSC-klagomål.docx", "A 29011-2023")</f>
        <v/>
      </c>
      <c r="AB45">
        <f>HYPERLINK("https://klasma.github.io/Logging_1496/klagomålsmail/A 29011-2023 FSC-klagomål mail.docx", "A 29011-2023")</f>
        <v/>
      </c>
      <c r="AC45">
        <f>HYPERLINK("https://klasma.github.io/Logging_1496/tillsyn/A 29011-2023 tillsynsbegäran.docx", "A 29011-2023")</f>
        <v/>
      </c>
      <c r="AD45">
        <f>HYPERLINK("https://klasma.github.io/Logging_1496/tillsynsmail/A 29011-2023 tillsynsbegäran mail.docx", "A 29011-2023")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46277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3951-2024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46277</v>
      </c>
      <c r="F47" t="inlineStr">
        <is>
          <t>VÄSTRA GÖTALANDS LÄN</t>
        </is>
      </c>
      <c r="G47" t="inlineStr">
        <is>
          <t>SKÖVDE</t>
        </is>
      </c>
      <c r="I47" t="n">
        <v>10.7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HYPERLINK("https://klasma.github.io/Logging_1496/artfynd/A 3951-2024 artfynd.xlsx", "A 3951-2024")</f>
        <v/>
      </c>
      <c r="X47">
        <f>HYPERLINK("https://klasma.github.io/Logging_1496/kartor/A 3951-2024 karta.png", "A 3951-2024")</f>
        <v/>
      </c>
      <c r="Y47">
        <f>HYPERLINK("https://klasma.github.io/Logging_1496/kartor_geotiff/A 3951-2024 georefererad karta.tif", "A 3951-2024")</f>
        <v/>
      </c>
      <c r="AA47">
        <f>HYPERLINK("https://klasma.github.io/Logging_1496/klagomål/A 3951-2024 FSC-klagomål.docx", "A 3951-2024")</f>
        <v/>
      </c>
      <c r="AB47">
        <f>HYPERLINK("https://klasma.github.io/Logging_1496/klagomålsmail/A 3951-2024 FSC-klagomål mail.docx", "A 3951-2024")</f>
        <v/>
      </c>
      <c r="AC47">
        <f>HYPERLINK("https://klasma.github.io/Logging_1496/tillsyn/A 3951-2024 tillsynsbegäran.docx", "A 3951-2024")</f>
        <v/>
      </c>
      <c r="AD47">
        <f>HYPERLINK("https://klasma.github.io/Logging_1496/tillsynsmail/A 3951-2024 tillsynsbegäran mail.docx", "A 3951-2024")</f>
        <v/>
      </c>
    </row>
    <row r="48" ht="15" customHeight="1">
      <c r="A48" t="inlineStr">
        <is>
          <t>A 15417-2023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46277</v>
      </c>
      <c r="F48" t="inlineStr">
        <is>
          <t>VÄSTRA GÖTALANDS LÄN</t>
        </is>
      </c>
      <c r="G48" t="inlineStr">
        <is>
          <t>SKÖVDE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Gullpudra</t>
        </is>
      </c>
      <c r="W48">
        <f>HYPERLINK("https://klasma.github.io/Logging_1496/artfynd/A 15417-2023 artfynd.xlsx", "A 15417-2023")</f>
        <v/>
      </c>
      <c r="X48">
        <f>HYPERLINK("https://klasma.github.io/Logging_1496/kartor/A 15417-2023 karta.png", "A 15417-2023")</f>
        <v/>
      </c>
      <c r="Y48">
        <f>HYPERLINK("https://klasma.github.io/Logging_1496/kartor_geotiff/A 15417-2023 georefererad karta.tif", "A 15417-2023")</f>
        <v/>
      </c>
      <c r="AA48">
        <f>HYPERLINK("https://klasma.github.io/Logging_1496/klagomål/A 15417-2023 FSC-klagomål.docx", "A 15417-2023")</f>
        <v/>
      </c>
      <c r="AB48">
        <f>HYPERLINK("https://klasma.github.io/Logging_1496/klagomålsmail/A 15417-2023 FSC-klagomål mail.docx", "A 15417-2023")</f>
        <v/>
      </c>
      <c r="AC48">
        <f>HYPERLINK("https://klasma.github.io/Logging_1496/tillsyn/A 15417-2023 tillsynsbegäran.docx", "A 15417-2023")</f>
        <v/>
      </c>
      <c r="AD48">
        <f>HYPERLINK("https://klasma.github.io/Logging_1496/tillsynsmail/A 15417-2023 tillsynsbegäran mail.docx", "A 15417-2023")</f>
        <v/>
      </c>
    </row>
    <row r="49" ht="15" customHeight="1">
      <c r="A49" t="inlineStr">
        <is>
          <t>A 6093-2026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46052</v>
      </c>
      <c r="E49" s="1" t="n">
        <v>46277</v>
      </c>
      <c r="F49" t="inlineStr">
        <is>
          <t>VÄSTRA GÖTALANDS LÄN</t>
        </is>
      </c>
      <c r="G49" t="inlineStr">
        <is>
          <t>SKÖVDE</t>
        </is>
      </c>
      <c r="I49" t="n">
        <v>5.8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Svinrot</t>
        </is>
      </c>
      <c r="W49">
        <f>HYPERLINK("https://klasma.github.io/Logging_1496/artfynd/A 6093-2026 artfynd.xlsx", "A 6093-2026")</f>
        <v/>
      </c>
      <c r="X49">
        <f>HYPERLINK("https://klasma.github.io/Logging_1496/kartor/A 6093-2026 karta.png", "A 6093-2026")</f>
        <v/>
      </c>
      <c r="Y49">
        <f>HYPERLINK("https://klasma.github.io/Logging_1496/kartor_geotiff/A 6093-2026 georefererad karta.tif", "A 6093-2026")</f>
        <v/>
      </c>
      <c r="AA49">
        <f>HYPERLINK("https://klasma.github.io/Logging_1496/klagomål/A 6093-2026 FSC-klagomål.docx", "A 6093-2026")</f>
        <v/>
      </c>
      <c r="AB49">
        <f>HYPERLINK("https://klasma.github.io/Logging_1496/klagomålsmail/A 6093-2026 FSC-klagomål mail.docx", "A 6093-2026")</f>
        <v/>
      </c>
      <c r="AC49">
        <f>HYPERLINK("https://klasma.github.io/Logging_1496/tillsyn/A 6093-2026 tillsynsbegäran.docx", "A 6093-2026")</f>
        <v/>
      </c>
      <c r="AD49">
        <f>HYPERLINK("https://klasma.github.io/Logging_1496/tillsynsmail/A 6093-2026 tillsynsbegäran mail.docx", "A 6093-2026")</f>
        <v/>
      </c>
    </row>
    <row r="50" ht="15" customHeight="1">
      <c r="A50" t="inlineStr">
        <is>
          <t>A 10602-2023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44988</v>
      </c>
      <c r="E50" s="1" t="n">
        <v>46277</v>
      </c>
      <c r="F50" t="inlineStr">
        <is>
          <t>VÄSTRA GÖTALANDS LÄN</t>
        </is>
      </c>
      <c r="G50" t="inlineStr">
        <is>
          <t>SKÖVDE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10602-2023 artfynd.xlsx", "A 10602-2023")</f>
        <v/>
      </c>
      <c r="X50">
        <f>HYPERLINK("https://klasma.github.io/Logging_1496/kartor/A 10602-2023 karta.png", "A 10602-2023")</f>
        <v/>
      </c>
      <c r="Y50">
        <f>HYPERLINK("https://klasma.github.io/Logging_1496/kartor_geotiff/A 10602-2023 georefererad karta.tif", "A 10602-2023")</f>
        <v/>
      </c>
      <c r="AA50">
        <f>HYPERLINK("https://klasma.github.io/Logging_1496/klagomål/A 10602-2023 FSC-klagomål.docx", "A 10602-2023")</f>
        <v/>
      </c>
      <c r="AB50">
        <f>HYPERLINK("https://klasma.github.io/Logging_1496/klagomålsmail/A 10602-2023 FSC-klagomål mail.docx", "A 10602-2023")</f>
        <v/>
      </c>
      <c r="AC50">
        <f>HYPERLINK("https://klasma.github.io/Logging_1496/tillsyn/A 10602-2023 tillsynsbegäran.docx", "A 10602-2023")</f>
        <v/>
      </c>
      <c r="AD50">
        <f>HYPERLINK("https://klasma.github.io/Logging_1496/tillsynsmail/A 10602-2023 tillsynsbegäran mail.docx", "A 10602-2023")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46277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28717-2026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46198</v>
      </c>
      <c r="E52" s="1" t="n">
        <v>46277</v>
      </c>
      <c r="F52" t="inlineStr">
        <is>
          <t>VÄSTRA GÖTALANDS LÄN</t>
        </is>
      </c>
      <c r="G52" t="inlineStr">
        <is>
          <t>SKÖVDE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28717-2026 artfynd.xlsx", "A 28717-2026")</f>
        <v/>
      </c>
      <c r="X52">
        <f>HYPERLINK("https://klasma.github.io/Logging_1496/kartor/A 28717-2026 karta.png", "A 28717-2026")</f>
        <v/>
      </c>
      <c r="Y52">
        <f>HYPERLINK("https://klasma.github.io/Logging_1496/kartor_geotiff/A 28717-2026 georefererad karta.tif", "A 28717-2026")</f>
        <v/>
      </c>
      <c r="AA52">
        <f>HYPERLINK("https://klasma.github.io/Logging_1496/klagomål/A 28717-2026 FSC-klagomål.docx", "A 28717-2026")</f>
        <v/>
      </c>
      <c r="AB52">
        <f>HYPERLINK("https://klasma.github.io/Logging_1496/klagomålsmail/A 28717-2026 FSC-klagomål mail.docx", "A 28717-2026")</f>
        <v/>
      </c>
      <c r="AC52">
        <f>HYPERLINK("https://klasma.github.io/Logging_1496/tillsyn/A 28717-2026 tillsynsbegäran.docx", "A 28717-2026")</f>
        <v/>
      </c>
      <c r="AD52">
        <f>HYPERLINK("https://klasma.github.io/Logging_1496/tillsynsmail/A 28717-2026 tillsynsbegäran mail.docx", "A 28717-2026")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46277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46277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46277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18132-2023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46277</v>
      </c>
      <c r="F56" t="inlineStr">
        <is>
          <t>VÄSTRA GÖTALANDS LÄN</t>
        </is>
      </c>
      <c r="G56" t="inlineStr">
        <is>
          <t>SKÖVDE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Hässleklocka</t>
        </is>
      </c>
      <c r="W56">
        <f>HYPERLINK("https://klasma.github.io/Logging_1496/artfynd/A 18132-2023 artfynd.xlsx", "A 18132-2023")</f>
        <v/>
      </c>
      <c r="X56">
        <f>HYPERLINK("https://klasma.github.io/Logging_1496/kartor/A 18132-2023 karta.png", "A 18132-2023")</f>
        <v/>
      </c>
      <c r="Y56">
        <f>HYPERLINK("https://klasma.github.io/Logging_1496/kartor_geotiff/A 18132-2023 georefererad karta.tif", "A 18132-2023")</f>
        <v/>
      </c>
      <c r="AA56">
        <f>HYPERLINK("https://klasma.github.io/Logging_1496/klagomål/A 18132-2023 FSC-klagomål.docx", "A 18132-2023")</f>
        <v/>
      </c>
      <c r="AB56">
        <f>HYPERLINK("https://klasma.github.io/Logging_1496/klagomålsmail/A 18132-2023 FSC-klagomål mail.docx", "A 18132-2023")</f>
        <v/>
      </c>
      <c r="AC56">
        <f>HYPERLINK("https://klasma.github.io/Logging_1496/tillsyn/A 18132-2023 tillsynsbegäran.docx", "A 18132-2023")</f>
        <v/>
      </c>
      <c r="AD56">
        <f>HYPERLINK("https://klasma.github.io/Logging_1496/tillsynsmail/A 18132-2023 tillsynsbegäran mail.docx", "A 18132-2023")</f>
        <v/>
      </c>
    </row>
    <row r="57" ht="15" customHeight="1">
      <c r="A57" t="inlineStr">
        <is>
          <t>A 35919-2023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46277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Svinrot</t>
        </is>
      </c>
      <c r="W57">
        <f>HYPERLINK("https://klasma.github.io/Logging_1496/artfynd/A 35919-2023 artfynd.xlsx", "A 35919-2023")</f>
        <v/>
      </c>
      <c r="X57">
        <f>HYPERLINK("https://klasma.github.io/Logging_1496/kartor/A 35919-2023 karta.png", "A 35919-2023")</f>
        <v/>
      </c>
      <c r="Y57">
        <f>HYPERLINK("https://klasma.github.io/Logging_1496/kartor_geotiff/A 35919-2023 georefererad karta.tif", "A 35919-2023")</f>
        <v/>
      </c>
      <c r="AA57">
        <f>HYPERLINK("https://klasma.github.io/Logging_1496/klagomål/A 35919-2023 FSC-klagomål.docx", "A 35919-2023")</f>
        <v/>
      </c>
      <c r="AB57">
        <f>HYPERLINK("https://klasma.github.io/Logging_1496/klagomålsmail/A 35919-2023 FSC-klagomål mail.docx", "A 35919-2023")</f>
        <v/>
      </c>
      <c r="AC57">
        <f>HYPERLINK("https://klasma.github.io/Logging_1496/tillsyn/A 35919-2023 tillsynsbegäran.docx", "A 35919-2023")</f>
        <v/>
      </c>
      <c r="AD57">
        <f>HYPERLINK("https://klasma.github.io/Logging_1496/tillsynsmail/A 35919-2023 tillsynsbegäran mail.docx", "A 35919-2023")</f>
        <v/>
      </c>
    </row>
    <row r="58" ht="15" customHeight="1">
      <c r="A58" t="inlineStr">
        <is>
          <t>A 42904-2023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46277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Grönvit nattviol</t>
        </is>
      </c>
      <c r="W58">
        <f>HYPERLINK("https://klasma.github.io/Logging_1496/artfynd/A 42904-2023 artfynd.xlsx", "A 42904-2023")</f>
        <v/>
      </c>
      <c r="X58">
        <f>HYPERLINK("https://klasma.github.io/Logging_1496/kartor/A 42904-2023 karta.png", "A 42904-2023")</f>
        <v/>
      </c>
      <c r="Y58">
        <f>HYPERLINK("https://klasma.github.io/Logging_1496/kartor_geotiff/A 42904-2023 georefererad karta.tif", "A 42904-2023")</f>
        <v/>
      </c>
      <c r="AA58">
        <f>HYPERLINK("https://klasma.github.io/Logging_1496/klagomål/A 42904-2023 FSC-klagomål.docx", "A 42904-2023")</f>
        <v/>
      </c>
      <c r="AB58">
        <f>HYPERLINK("https://klasma.github.io/Logging_1496/klagomålsmail/A 42904-2023 FSC-klagomål mail.docx", "A 42904-2023")</f>
        <v/>
      </c>
      <c r="AC58">
        <f>HYPERLINK("https://klasma.github.io/Logging_1496/tillsyn/A 42904-2023 tillsynsbegäran.docx", "A 42904-2023")</f>
        <v/>
      </c>
      <c r="AD58">
        <f>HYPERLINK("https://klasma.github.io/Logging_1496/tillsynsmail/A 42904-2023 tillsynsbegäran mail.docx", "A 42904-2023")</f>
        <v/>
      </c>
    </row>
    <row r="59" ht="15" customHeight="1">
      <c r="A59" t="inlineStr">
        <is>
          <t>A 36667-2026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46272</v>
      </c>
      <c r="E59" s="1" t="n">
        <v>46277</v>
      </c>
      <c r="F59" t="inlineStr">
        <is>
          <t>VÄSTRA GÖTALANDS LÄN</t>
        </is>
      </c>
      <c r="G59" t="inlineStr">
        <is>
          <t>SKÖVDE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Trollfibbla</t>
        </is>
      </c>
      <c r="W59">
        <f>HYPERLINK("https://klasma.github.io/Logging_1496/artfynd/A 36667-2026 artfynd.xlsx", "A 36667-2026")</f>
        <v/>
      </c>
      <c r="X59">
        <f>HYPERLINK("https://klasma.github.io/Logging_1496/kartor/A 36667-2026 karta.png", "A 36667-2026")</f>
        <v/>
      </c>
      <c r="Y59">
        <f>HYPERLINK("https://klasma.github.io/Logging_1496/kartor_geotiff/A 36667-2026 georefererad karta.tif", "A 36667-2026")</f>
        <v/>
      </c>
      <c r="AA59">
        <f>HYPERLINK("https://klasma.github.io/Logging_1496/klagomål/A 36667-2026 FSC-klagomål.docx", "A 36667-2026")</f>
        <v/>
      </c>
      <c r="AB59">
        <f>HYPERLINK("https://klasma.github.io/Logging_1496/klagomålsmail/A 36667-2026 FSC-klagomål mail.docx", "A 36667-2026")</f>
        <v/>
      </c>
      <c r="AC59">
        <f>HYPERLINK("https://klasma.github.io/Logging_1496/tillsyn/A 36667-2026 tillsynsbegäran.docx", "A 36667-2026")</f>
        <v/>
      </c>
      <c r="AD59">
        <f>HYPERLINK("https://klasma.github.io/Logging_1496/tillsynsmail/A 36667-2026 tillsynsbegäran mail.docx", "A 36667-2026")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46277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46277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46277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46277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46277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46277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46277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46277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46277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46277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46277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46277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46277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46277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46277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46277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46277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46277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46277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46277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46277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46277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46277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46277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46277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46277</v>
      </c>
      <c r="F85" t="inlineStr">
        <is>
          <t>VÄSTRA GÖTALANDS LÄN</t>
        </is>
      </c>
      <c r="G85" t="inlineStr">
        <is>
          <t>SKÖVDE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46277</v>
      </c>
      <c r="F86" t="inlineStr">
        <is>
          <t>VÄSTRA GÖTALANDS LÄN</t>
        </is>
      </c>
      <c r="G86" t="inlineStr">
        <is>
          <t>SKÖVDE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44862</v>
      </c>
      <c r="E87" s="1" t="n">
        <v>46277</v>
      </c>
      <c r="F87" t="inlineStr">
        <is>
          <t>VÄSTRA GÖTALANDS LÄN</t>
        </is>
      </c>
      <c r="G87" t="inlineStr">
        <is>
          <t>SKÖVDE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34211-2023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46277</v>
      </c>
      <c r="F88" t="inlineStr">
        <is>
          <t>VÄSTRA GÖTALANDS LÄN</t>
        </is>
      </c>
      <c r="G88" t="inlineStr">
        <is>
          <t>SKÖVDE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45299</v>
      </c>
      <c r="E89" s="1" t="n">
        <v>46277</v>
      </c>
      <c r="F89" t="inlineStr">
        <is>
          <t>VÄSTRA GÖTALANDS LÄN</t>
        </is>
      </c>
      <c r="G89" t="inlineStr">
        <is>
          <t>SKÖVDE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45301</v>
      </c>
      <c r="E90" s="1" t="n">
        <v>46277</v>
      </c>
      <c r="F90" t="inlineStr">
        <is>
          <t>VÄSTRA GÖTALANDS LÄN</t>
        </is>
      </c>
      <c r="G90" t="inlineStr">
        <is>
          <t>SKÖVDE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46277</v>
      </c>
      <c r="F91" t="inlineStr">
        <is>
          <t>VÄSTRA GÖTALANDS LÄN</t>
        </is>
      </c>
      <c r="G91" t="inlineStr">
        <is>
          <t>SKÖVDE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46277</v>
      </c>
      <c r="F92" t="inlineStr">
        <is>
          <t>VÄSTRA GÖTALANDS LÄN</t>
        </is>
      </c>
      <c r="G92" t="inlineStr">
        <is>
          <t>SKÖVDE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46277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45314</v>
      </c>
      <c r="E94" s="1" t="n">
        <v>46277</v>
      </c>
      <c r="F94" t="inlineStr">
        <is>
          <t>VÄSTRA GÖTALANDS LÄN</t>
        </is>
      </c>
      <c r="G94" t="inlineStr">
        <is>
          <t>SKÖVDE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45306</v>
      </c>
      <c r="E95" s="1" t="n">
        <v>46277</v>
      </c>
      <c r="F95" t="inlineStr">
        <is>
          <t>VÄSTRA GÖTALANDS LÄN</t>
        </is>
      </c>
      <c r="G95" t="inlineStr">
        <is>
          <t>SKÖVDE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44938</v>
      </c>
      <c r="E96" s="1" t="n">
        <v>46277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45531</v>
      </c>
      <c r="E97" s="1" t="n">
        <v>46277</v>
      </c>
      <c r="F97" t="inlineStr">
        <is>
          <t>VÄSTRA GÖTALANDS LÄN</t>
        </is>
      </c>
      <c r="G97" t="inlineStr">
        <is>
          <t>SKÖVDE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46277</v>
      </c>
      <c r="F98" t="inlineStr">
        <is>
          <t>VÄSTRA GÖTALANDS LÄN</t>
        </is>
      </c>
      <c r="G98" t="inlineStr">
        <is>
          <t>SKÖVDE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46277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46277</v>
      </c>
      <c r="F100" t="inlineStr">
        <is>
          <t>VÄSTRA GÖTALANDS LÄN</t>
        </is>
      </c>
      <c r="G100" t="inlineStr">
        <is>
          <t>SKÖVDE</t>
        </is>
      </c>
      <c r="I100" t="n">
        <v>11.8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46277</v>
      </c>
      <c r="F101" t="inlineStr">
        <is>
          <t>VÄSTRA GÖTALANDS LÄN</t>
        </is>
      </c>
      <c r="G101" t="inlineStr">
        <is>
          <t>SKÖVDE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45586</v>
      </c>
      <c r="E102" s="1" t="n">
        <v>46277</v>
      </c>
      <c r="F102" t="inlineStr">
        <is>
          <t>VÄSTRA GÖTALANDS LÄN</t>
        </is>
      </c>
      <c r="G102" t="inlineStr">
        <is>
          <t>SKÖVDE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45547</v>
      </c>
      <c r="E103" s="1" t="n">
        <v>46277</v>
      </c>
      <c r="F103" t="inlineStr">
        <is>
          <t>VÄSTRA GÖTALANDS LÄN</t>
        </is>
      </c>
      <c r="G103" t="inlineStr">
        <is>
          <t>SKÖVDE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46277</v>
      </c>
      <c r="F104" t="inlineStr">
        <is>
          <t>VÄSTRA GÖTALANDS LÄN</t>
        </is>
      </c>
      <c r="G104" t="inlineStr">
        <is>
          <t>SKÖVDE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45401</v>
      </c>
      <c r="E105" s="1" t="n">
        <v>46277</v>
      </c>
      <c r="F105" t="inlineStr">
        <is>
          <t>VÄSTRA GÖTALANDS LÄN</t>
        </is>
      </c>
      <c r="G105" t="inlineStr">
        <is>
          <t>SKÖVDE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46277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37656-2023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46277</v>
      </c>
      <c r="F107" t="inlineStr">
        <is>
          <t>VÄSTRA GÖTALANDS LÄN</t>
        </is>
      </c>
      <c r="G107" t="inlineStr">
        <is>
          <t>SKÖVDE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46277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46277</v>
      </c>
      <c r="F109" t="inlineStr">
        <is>
          <t>VÄSTRA GÖTALANDS LÄN</t>
        </is>
      </c>
      <c r="G109" t="inlineStr">
        <is>
          <t>SKÖVDE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46277</v>
      </c>
      <c r="F110" t="inlineStr">
        <is>
          <t>VÄSTRA GÖTALANDS LÄN</t>
        </is>
      </c>
      <c r="G110" t="inlineStr">
        <is>
          <t>SKÖVDE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46277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46277</v>
      </c>
      <c r="F112" t="inlineStr">
        <is>
          <t>VÄSTRA GÖTALANDS LÄN</t>
        </is>
      </c>
      <c r="G112" t="inlineStr">
        <is>
          <t>SKÖVDE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46277</v>
      </c>
      <c r="F113" t="inlineStr">
        <is>
          <t>VÄSTRA GÖTALANDS LÄN</t>
        </is>
      </c>
      <c r="G113" t="inlineStr">
        <is>
          <t>SKÖVDE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46277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46277</v>
      </c>
      <c r="F115" t="inlineStr">
        <is>
          <t>VÄSTRA GÖTALANDS LÄN</t>
        </is>
      </c>
      <c r="G115" t="inlineStr">
        <is>
          <t>SKÖVDE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46277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46277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46277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46277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46277</v>
      </c>
      <c r="F120" t="inlineStr">
        <is>
          <t>VÄSTRA GÖTALANDS LÄN</t>
        </is>
      </c>
      <c r="G120" t="inlineStr">
        <is>
          <t>SKÖVDE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46277</v>
      </c>
      <c r="F121" t="inlineStr">
        <is>
          <t>VÄSTRA GÖTALANDS LÄN</t>
        </is>
      </c>
      <c r="G121" t="inlineStr">
        <is>
          <t>SKÖVDE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46277</v>
      </c>
      <c r="F122" t="inlineStr">
        <is>
          <t>VÄSTRA GÖTALANDS LÄN</t>
        </is>
      </c>
      <c r="G122" t="inlineStr">
        <is>
          <t>SKÖVDE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46277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46277</v>
      </c>
      <c r="F124" t="inlineStr">
        <is>
          <t>VÄSTRA GÖTALANDS LÄN</t>
        </is>
      </c>
      <c r="G124" t="inlineStr">
        <is>
          <t>SKÖVDE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45846</v>
      </c>
      <c r="E125" s="1" t="n">
        <v>46277</v>
      </c>
      <c r="F125" t="inlineStr">
        <is>
          <t>VÄSTRA GÖTALANDS LÄN</t>
        </is>
      </c>
      <c r="G125" t="inlineStr">
        <is>
          <t>SKÖVDE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46277</v>
      </c>
      <c r="F126" t="inlineStr">
        <is>
          <t>VÄSTRA GÖTALANDS LÄN</t>
        </is>
      </c>
      <c r="G126" t="inlineStr">
        <is>
          <t>SKÖVDE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46277</v>
      </c>
      <c r="F127" t="inlineStr">
        <is>
          <t>VÄSTRA GÖTALANDS LÄN</t>
        </is>
      </c>
      <c r="G127" t="inlineStr">
        <is>
          <t>SKÖVDE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44750</v>
      </c>
      <c r="E128" s="1" t="n">
        <v>46277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45590</v>
      </c>
      <c r="E129" s="1" t="n">
        <v>46277</v>
      </c>
      <c r="F129" t="inlineStr">
        <is>
          <t>VÄSTRA GÖTALANDS LÄN</t>
        </is>
      </c>
      <c r="G129" t="inlineStr">
        <is>
          <t>SKÖVDE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46277</v>
      </c>
      <c r="F130" t="inlineStr">
        <is>
          <t>VÄSTRA GÖTALANDS LÄN</t>
        </is>
      </c>
      <c r="G130" t="inlineStr">
        <is>
          <t>SKÖVDE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46277</v>
      </c>
      <c r="F131" t="inlineStr">
        <is>
          <t>VÄSTRA GÖTALANDS LÄN</t>
        </is>
      </c>
      <c r="G131" t="inlineStr">
        <is>
          <t>SKÖVDE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46277</v>
      </c>
      <c r="F132" t="inlineStr">
        <is>
          <t>VÄSTRA GÖTALANDS LÄN</t>
        </is>
      </c>
      <c r="G132" t="inlineStr">
        <is>
          <t>SKÖVDE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46277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46277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13669-2023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45006</v>
      </c>
      <c r="E135" s="1" t="n">
        <v>46277</v>
      </c>
      <c r="F135" t="inlineStr">
        <is>
          <t>VÄSTRA GÖTALANDS LÄN</t>
        </is>
      </c>
      <c r="G135" t="inlineStr">
        <is>
          <t>SKÖVDE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46277</v>
      </c>
      <c r="F136" t="inlineStr">
        <is>
          <t>VÄSTRA GÖTALANDS LÄN</t>
        </is>
      </c>
      <c r="G136" t="inlineStr">
        <is>
          <t>SKÖVDE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46277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46277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46277</v>
      </c>
      <c r="F139" t="inlineStr">
        <is>
          <t>VÄSTRA GÖTALANDS LÄN</t>
        </is>
      </c>
      <c r="G139" t="inlineStr">
        <is>
          <t>SKÖVDE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46277</v>
      </c>
      <c r="F140" t="inlineStr">
        <is>
          <t>VÄSTRA GÖTALANDS LÄN</t>
        </is>
      </c>
      <c r="G140" t="inlineStr">
        <is>
          <t>SKÖVDE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46277</v>
      </c>
      <c r="F141" t="inlineStr">
        <is>
          <t>VÄSTRA GÖTALANDS LÄN</t>
        </is>
      </c>
      <c r="G141" t="inlineStr">
        <is>
          <t>SKÖVDE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46277</v>
      </c>
      <c r="F142" t="inlineStr">
        <is>
          <t>VÄSTRA GÖTALANDS LÄN</t>
        </is>
      </c>
      <c r="G142" t="inlineStr">
        <is>
          <t>SKÖVDE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46277</v>
      </c>
      <c r="F143" t="inlineStr">
        <is>
          <t>VÄSTRA GÖTALANDS LÄN</t>
        </is>
      </c>
      <c r="G143" t="inlineStr">
        <is>
          <t>SKÖVDE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46277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46277</v>
      </c>
      <c r="F145" t="inlineStr">
        <is>
          <t>VÄSTRA GÖTALANDS LÄN</t>
        </is>
      </c>
      <c r="G145" t="inlineStr">
        <is>
          <t>SKÖVDE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46277</v>
      </c>
      <c r="F146" t="inlineStr">
        <is>
          <t>VÄSTRA GÖTALANDS LÄN</t>
        </is>
      </c>
      <c r="G146" t="inlineStr">
        <is>
          <t>SKÖVDE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46099</v>
      </c>
      <c r="E147" s="1" t="n">
        <v>46277</v>
      </c>
      <c r="F147" t="inlineStr">
        <is>
          <t>VÄSTRA GÖTALANDS LÄN</t>
        </is>
      </c>
      <c r="G147" t="inlineStr">
        <is>
          <t>SKÖVDE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46277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Kommuner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46277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46277</v>
      </c>
      <c r="F150" t="inlineStr">
        <is>
          <t>VÄSTRA GÖTALANDS LÄN</t>
        </is>
      </c>
      <c r="G150" t="inlineStr">
        <is>
          <t>SKÖVDE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46277</v>
      </c>
      <c r="F151" t="inlineStr">
        <is>
          <t>VÄSTRA GÖTALANDS LÄN</t>
        </is>
      </c>
      <c r="G151" t="inlineStr">
        <is>
          <t>SKÖVDE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44739</v>
      </c>
      <c r="E152" s="1" t="n">
        <v>46277</v>
      </c>
      <c r="F152" t="inlineStr">
        <is>
          <t>VÄSTRA GÖTALANDS LÄN</t>
        </is>
      </c>
      <c r="G152" t="inlineStr">
        <is>
          <t>SKÖVDE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46277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45706</v>
      </c>
      <c r="E154" s="1" t="n">
        <v>46277</v>
      </c>
      <c r="F154" t="inlineStr">
        <is>
          <t>VÄSTRA GÖTALANDS LÄN</t>
        </is>
      </c>
      <c r="G154" t="inlineStr">
        <is>
          <t>SKÖVDE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46277</v>
      </c>
      <c r="F155" t="inlineStr">
        <is>
          <t>VÄSTRA GÖTALANDS LÄN</t>
        </is>
      </c>
      <c r="G155" t="inlineStr">
        <is>
          <t>SKÖVDE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46277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46277</v>
      </c>
      <c r="F157" t="inlineStr">
        <is>
          <t>VÄSTRA GÖTALANDS LÄN</t>
        </is>
      </c>
      <c r="G157" t="inlineStr">
        <is>
          <t>SKÖVDE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45847</v>
      </c>
      <c r="E158" s="1" t="n">
        <v>46277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46277</v>
      </c>
      <c r="F159" t="inlineStr">
        <is>
          <t>VÄSTRA GÖTALANDS LÄN</t>
        </is>
      </c>
      <c r="G159" t="inlineStr">
        <is>
          <t>SKÖVDE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46277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46277</v>
      </c>
      <c r="F161" t="inlineStr">
        <is>
          <t>VÄSTRA GÖTALANDS LÄN</t>
        </is>
      </c>
      <c r="G161" t="inlineStr">
        <is>
          <t>SKÖVDE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46277</v>
      </c>
      <c r="F162" t="inlineStr">
        <is>
          <t>VÄSTRA GÖTALANDS LÄN</t>
        </is>
      </c>
      <c r="G162" t="inlineStr">
        <is>
          <t>SKÖVDE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46277</v>
      </c>
      <c r="F163" t="inlineStr">
        <is>
          <t>VÄSTRA GÖTALANDS LÄN</t>
        </is>
      </c>
      <c r="G163" t="inlineStr">
        <is>
          <t>SKÖVDE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46277</v>
      </c>
      <c r="F164" t="inlineStr">
        <is>
          <t>VÄSTRA GÖTALANDS LÄN</t>
        </is>
      </c>
      <c r="G164" t="inlineStr">
        <is>
          <t>SKÖVDE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46277</v>
      </c>
      <c r="F165" t="inlineStr">
        <is>
          <t>VÄSTRA GÖTALANDS LÄN</t>
        </is>
      </c>
      <c r="G165" t="inlineStr">
        <is>
          <t>SKÖVDE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46277</v>
      </c>
      <c r="F166" t="inlineStr">
        <is>
          <t>VÄSTRA GÖTALANDS LÄN</t>
        </is>
      </c>
      <c r="G166" t="inlineStr">
        <is>
          <t>SKÖVDE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46277</v>
      </c>
      <c r="F167" t="inlineStr">
        <is>
          <t>VÄSTRA GÖTALANDS LÄN</t>
        </is>
      </c>
      <c r="G167" t="inlineStr">
        <is>
          <t>SKÖVDE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46277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46277</v>
      </c>
      <c r="F169" t="inlineStr">
        <is>
          <t>VÄSTRA GÖTALANDS LÄN</t>
        </is>
      </c>
      <c r="G169" t="inlineStr">
        <is>
          <t>SKÖVDE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46017</v>
      </c>
      <c r="E170" s="1" t="n">
        <v>46277</v>
      </c>
      <c r="F170" t="inlineStr">
        <is>
          <t>VÄSTRA GÖTALANDS LÄN</t>
        </is>
      </c>
      <c r="G170" t="inlineStr">
        <is>
          <t>SKÖVDE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46277</v>
      </c>
      <c r="F171" t="inlineStr">
        <is>
          <t>VÄSTRA GÖTALANDS LÄN</t>
        </is>
      </c>
      <c r="G171" t="inlineStr">
        <is>
          <t>SKÖVDE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46277</v>
      </c>
      <c r="F172" t="inlineStr">
        <is>
          <t>VÄSTRA GÖTALANDS LÄN</t>
        </is>
      </c>
      <c r="G172" t="inlineStr">
        <is>
          <t>SKÖVDE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51886-2021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46277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46277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17798-2024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45418</v>
      </c>
      <c r="E175" s="1" t="n">
        <v>46277</v>
      </c>
      <c r="F175" t="inlineStr">
        <is>
          <t>VÄSTRA GÖTALANDS LÄN</t>
        </is>
      </c>
      <c r="G175" t="inlineStr">
        <is>
          <t>SKÖVDE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6092-2026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46052</v>
      </c>
      <c r="E176" s="1" t="n">
        <v>46277</v>
      </c>
      <c r="F176" t="inlineStr">
        <is>
          <t>VÄSTRA GÖTALANDS LÄN</t>
        </is>
      </c>
      <c r="G176" t="inlineStr">
        <is>
          <t>SKÖVDE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46051</v>
      </c>
      <c r="E177" s="1" t="n">
        <v>46277</v>
      </c>
      <c r="F177" t="inlineStr">
        <is>
          <t>VÄSTRA GÖTALANDS LÄN</t>
        </is>
      </c>
      <c r="G177" t="inlineStr">
        <is>
          <t>SKÖVDE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46277</v>
      </c>
      <c r="F178" t="inlineStr">
        <is>
          <t>VÄSTRA GÖTALANDS LÄN</t>
        </is>
      </c>
      <c r="G178" t="inlineStr">
        <is>
          <t>SKÖVDE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46277</v>
      </c>
      <c r="F179" t="inlineStr">
        <is>
          <t>VÄSTRA GÖTALANDS LÄN</t>
        </is>
      </c>
      <c r="G179" t="inlineStr">
        <is>
          <t>SKÖVDE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46277</v>
      </c>
      <c r="F180" t="inlineStr">
        <is>
          <t>VÄSTRA GÖTALANDS LÄN</t>
        </is>
      </c>
      <c r="G180" t="inlineStr">
        <is>
          <t>SKÖVDE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46009</v>
      </c>
      <c r="E181" s="1" t="n">
        <v>46277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Övriga statliga verk och myndigheter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46277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46277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46277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Övriga statliga verk och myndigheter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46277</v>
      </c>
      <c r="F185" t="inlineStr">
        <is>
          <t>VÄSTRA GÖTALANDS LÄN</t>
        </is>
      </c>
      <c r="G185" t="inlineStr">
        <is>
          <t>SKÖVDE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45992</v>
      </c>
      <c r="E186" s="1" t="n">
        <v>46277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46277</v>
      </c>
      <c r="F187" t="inlineStr">
        <is>
          <t>VÄSTRA GÖTALANDS LÄN</t>
        </is>
      </c>
      <c r="G187" t="inlineStr">
        <is>
          <t>SKÖVDE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45685</v>
      </c>
      <c r="E188" s="1" t="n">
        <v>46277</v>
      </c>
      <c r="F188" t="inlineStr">
        <is>
          <t>VÄSTRA GÖTALANDS LÄN</t>
        </is>
      </c>
      <c r="G188" t="inlineStr">
        <is>
          <t>SKÖVDE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46277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46277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46277</v>
      </c>
      <c r="F191" t="inlineStr">
        <is>
          <t>VÄSTRA GÖTALANDS LÄN</t>
        </is>
      </c>
      <c r="G191" t="inlineStr">
        <is>
          <t>SKÖVDE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46277</v>
      </c>
      <c r="F192" t="inlineStr">
        <is>
          <t>VÄSTRA GÖTALANDS LÄN</t>
        </is>
      </c>
      <c r="G192" t="inlineStr">
        <is>
          <t>SKÖVDE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46277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46277</v>
      </c>
      <c r="F194" t="inlineStr">
        <is>
          <t>VÄSTRA GÖTALANDS LÄN</t>
        </is>
      </c>
      <c r="G194" t="inlineStr">
        <is>
          <t>SKÖVDE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45230</v>
      </c>
      <c r="E195" s="1" t="n">
        <v>46277</v>
      </c>
      <c r="F195" t="inlineStr">
        <is>
          <t>VÄSTRA GÖTALANDS LÄN</t>
        </is>
      </c>
      <c r="G195" t="inlineStr">
        <is>
          <t>SKÖVDE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45267</v>
      </c>
      <c r="E196" s="1" t="n">
        <v>46277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2901-2026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46038</v>
      </c>
      <c r="E197" s="1" t="n">
        <v>46277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46277</v>
      </c>
      <c r="F198" t="inlineStr">
        <is>
          <t>VÄSTRA GÖTALANDS LÄN</t>
        </is>
      </c>
      <c r="G198" t="inlineStr">
        <is>
          <t>SKÖVDE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46277</v>
      </c>
      <c r="F199" t="inlineStr">
        <is>
          <t>VÄSTRA GÖTALANDS LÄN</t>
        </is>
      </c>
      <c r="G199" t="inlineStr">
        <is>
          <t>SKÖVDE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46277</v>
      </c>
      <c r="F200" t="inlineStr">
        <is>
          <t>VÄSTRA GÖTALANDS LÄN</t>
        </is>
      </c>
      <c r="G200" t="inlineStr">
        <is>
          <t>SKÖVDE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45204</v>
      </c>
      <c r="E201" s="1" t="n">
        <v>46277</v>
      </c>
      <c r="F201" t="inlineStr">
        <is>
          <t>VÄSTRA GÖTALANDS LÄN</t>
        </is>
      </c>
      <c r="G201" t="inlineStr">
        <is>
          <t>SKÖVDE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46277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44811</v>
      </c>
      <c r="E203" s="1" t="n">
        <v>46277</v>
      </c>
      <c r="F203" t="inlineStr">
        <is>
          <t>VÄSTRA GÖTALANDS LÄN</t>
        </is>
      </c>
      <c r="G203" t="inlineStr">
        <is>
          <t>SKÖVDE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46277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46277</v>
      </c>
      <c r="F205" t="inlineStr">
        <is>
          <t>VÄSTRA GÖTALANDS LÄN</t>
        </is>
      </c>
      <c r="G205" t="inlineStr">
        <is>
          <t>SKÖVDE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45134</v>
      </c>
      <c r="E206" s="1" t="n">
        <v>46277</v>
      </c>
      <c r="F206" t="inlineStr">
        <is>
          <t>VÄSTRA GÖTALANDS LÄN</t>
        </is>
      </c>
      <c r="G206" t="inlineStr">
        <is>
          <t>SKÖVDE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46277</v>
      </c>
      <c r="F207" t="inlineStr">
        <is>
          <t>VÄSTRA GÖTALANDS LÄN</t>
        </is>
      </c>
      <c r="G207" t="inlineStr">
        <is>
          <t>SKÖVDE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26914-2026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46185</v>
      </c>
      <c r="E208" s="1" t="n">
        <v>46277</v>
      </c>
      <c r="F208" t="inlineStr">
        <is>
          <t>VÄSTRA GÖTALANDS LÄN</t>
        </is>
      </c>
      <c r="G208" t="inlineStr">
        <is>
          <t>SKÖVDE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46277</v>
      </c>
      <c r="F209" t="inlineStr">
        <is>
          <t>VÄSTRA GÖTALANDS LÄN</t>
        </is>
      </c>
      <c r="G209" t="inlineStr">
        <is>
          <t>SKÖVDE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44586</v>
      </c>
      <c r="E210" s="1" t="n">
        <v>46277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45301</v>
      </c>
      <c r="E211" s="1" t="n">
        <v>46277</v>
      </c>
      <c r="F211" t="inlineStr">
        <is>
          <t>VÄSTRA GÖTALANDS LÄN</t>
        </is>
      </c>
      <c r="G211" t="inlineStr">
        <is>
          <t>SKÖVDE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34834-2022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46277</v>
      </c>
      <c r="F212" t="inlineStr">
        <is>
          <t>VÄSTRA GÖTALANDS LÄN</t>
        </is>
      </c>
      <c r="G212" t="inlineStr">
        <is>
          <t>SKÖVDE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44636</v>
      </c>
      <c r="E213" s="1" t="n">
        <v>46277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46277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46277</v>
      </c>
      <c r="F215" t="inlineStr">
        <is>
          <t>VÄSTRA GÖTALANDS LÄN</t>
        </is>
      </c>
      <c r="G215" t="inlineStr">
        <is>
          <t>SKÖVDE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46277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44963</v>
      </c>
      <c r="E217" s="1" t="n">
        <v>46277</v>
      </c>
      <c r="F217" t="inlineStr">
        <is>
          <t>VÄSTRA GÖTALANDS LÄN</t>
        </is>
      </c>
      <c r="G217" t="inlineStr">
        <is>
          <t>SKÖVDE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44600</v>
      </c>
      <c r="E218" s="1" t="n">
        <v>46277</v>
      </c>
      <c r="F218" t="inlineStr">
        <is>
          <t>VÄSTRA GÖTALANDS LÄN</t>
        </is>
      </c>
      <c r="G218" t="inlineStr">
        <is>
          <t>SKÖVDE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46277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46277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45013</v>
      </c>
      <c r="E221" s="1" t="n">
        <v>46277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67134-2021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44523</v>
      </c>
      <c r="E222" s="1" t="n">
        <v>46277</v>
      </c>
      <c r="F222" t="inlineStr">
        <is>
          <t>VÄSTRA GÖTALANDS LÄN</t>
        </is>
      </c>
      <c r="G222" t="inlineStr">
        <is>
          <t>SKÖVDE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45105</v>
      </c>
      <c r="E223" s="1" t="n">
        <v>46277</v>
      </c>
      <c r="F223" t="inlineStr">
        <is>
          <t>VÄSTRA GÖTALANDS LÄN</t>
        </is>
      </c>
      <c r="G223" t="inlineStr">
        <is>
          <t>SKÖVDE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46277</v>
      </c>
      <c r="F224" t="inlineStr">
        <is>
          <t>VÄSTRA GÖTALANDS LÄN</t>
        </is>
      </c>
      <c r="G224" t="inlineStr">
        <is>
          <t>SKÖVDE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46277</v>
      </c>
      <c r="F225" t="inlineStr">
        <is>
          <t>VÄSTRA GÖTALANDS LÄN</t>
        </is>
      </c>
      <c r="G225" t="inlineStr">
        <is>
          <t>SKÖVDE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46277</v>
      </c>
      <c r="F226" t="inlineStr">
        <is>
          <t>VÄSTRA GÖTALANDS LÄN</t>
        </is>
      </c>
      <c r="G226" t="inlineStr">
        <is>
          <t>SKÖVDE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46129</v>
      </c>
      <c r="E227" s="1" t="n">
        <v>46277</v>
      </c>
      <c r="F227" t="inlineStr">
        <is>
          <t>VÄSTRA GÖTALANDS LÄN</t>
        </is>
      </c>
      <c r="G227" t="inlineStr">
        <is>
          <t>SKÖVDE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60117-2021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44495</v>
      </c>
      <c r="E228" s="1" t="n">
        <v>46277</v>
      </c>
      <c r="F228" t="inlineStr">
        <is>
          <t>VÄSTRA GÖTALANDS LÄN</t>
        </is>
      </c>
      <c r="G228" t="inlineStr">
        <is>
          <t>SKÖVDE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35280-2024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45530</v>
      </c>
      <c r="E229" s="1" t="n">
        <v>46277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49300-2023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46277</v>
      </c>
      <c r="F230" t="inlineStr">
        <is>
          <t>VÄSTRA GÖTALANDS LÄN</t>
        </is>
      </c>
      <c r="G230" t="inlineStr">
        <is>
          <t>SKÖVDE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46277</v>
      </c>
      <c r="F231" t="inlineStr">
        <is>
          <t>VÄSTRA GÖTALANDS LÄN</t>
        </is>
      </c>
      <c r="G231" t="inlineStr">
        <is>
          <t>SKÖVDE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46401-2023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46277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45687</v>
      </c>
      <c r="E233" s="1" t="n">
        <v>46277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45215</v>
      </c>
      <c r="E234" s="1" t="n">
        <v>46277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44743</v>
      </c>
      <c r="E235" s="1" t="n">
        <v>46277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46272</v>
      </c>
      <c r="E236" s="1" t="n">
        <v>46277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46277</v>
      </c>
      <c r="F237" t="inlineStr">
        <is>
          <t>VÄSTRA GÖTALANDS LÄN</t>
        </is>
      </c>
      <c r="G237" t="inlineStr">
        <is>
          <t>SKÖVDE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36485-2026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46269</v>
      </c>
      <c r="E238" s="1" t="n">
        <v>46277</v>
      </c>
      <c r="F238" t="inlineStr">
        <is>
          <t>VÄSTRA GÖTALANDS LÄN</t>
        </is>
      </c>
      <c r="G238" t="inlineStr">
        <is>
          <t>SKÖVDE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46277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45742</v>
      </c>
      <c r="E240" s="1" t="n">
        <v>46277</v>
      </c>
      <c r="F240" t="inlineStr">
        <is>
          <t>VÄSTRA GÖTALANDS LÄN</t>
        </is>
      </c>
      <c r="G240" t="inlineStr">
        <is>
          <t>SKÖVDE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46277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60588-2023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45259</v>
      </c>
      <c r="E242" s="1" t="n">
        <v>46277</v>
      </c>
      <c r="F242" t="inlineStr">
        <is>
          <t>VÄSTRA GÖTALANDS LÄN</t>
        </is>
      </c>
      <c r="G242" t="inlineStr">
        <is>
          <t>SKÖVDE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46277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46277</v>
      </c>
      <c r="F244" t="inlineStr">
        <is>
          <t>VÄSTRA GÖTALANDS LÄN</t>
        </is>
      </c>
      <c r="G244" t="inlineStr">
        <is>
          <t>SKÖVDE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45710</v>
      </c>
      <c r="E245" s="1" t="n">
        <v>46277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45743</v>
      </c>
      <c r="E246" s="1" t="n">
        <v>46277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46277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45142</v>
      </c>
      <c r="E248" s="1" t="n">
        <v>46277</v>
      </c>
      <c r="F248" t="inlineStr">
        <is>
          <t>VÄSTRA GÖTALANDS LÄN</t>
        </is>
      </c>
      <c r="G248" t="inlineStr">
        <is>
          <t>SKÖVDE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46277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46277</v>
      </c>
      <c r="F250" t="inlineStr">
        <is>
          <t>VÄSTRA GÖTALANDS LÄN</t>
        </is>
      </c>
      <c r="G250" t="inlineStr">
        <is>
          <t>SKÖVDE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45334</v>
      </c>
      <c r="E251" s="1" t="n">
        <v>46277</v>
      </c>
      <c r="F251" t="inlineStr">
        <is>
          <t>VÄSTRA GÖTALANDS LÄN</t>
        </is>
      </c>
      <c r="G251" t="inlineStr">
        <is>
          <t>SKÖVDE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46277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46277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45800</v>
      </c>
      <c r="E254" s="1" t="n">
        <v>46277</v>
      </c>
      <c r="F254" t="inlineStr">
        <is>
          <t>VÄSTRA GÖTALANDS LÄN</t>
        </is>
      </c>
      <c r="G254" t="inlineStr">
        <is>
          <t>SKÖVDE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46277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45803</v>
      </c>
      <c r="E256" s="1" t="n">
        <v>46277</v>
      </c>
      <c r="F256" t="inlineStr">
        <is>
          <t>VÄSTRA GÖTALANDS LÄN</t>
        </is>
      </c>
      <c r="G256" t="inlineStr">
        <is>
          <t>SKÖVDE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46277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46277</v>
      </c>
      <c r="F258" t="inlineStr">
        <is>
          <t>VÄSTRA GÖTALANDS LÄN</t>
        </is>
      </c>
      <c r="G258" t="inlineStr">
        <is>
          <t>SKÖVDE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46277</v>
      </c>
      <c r="F259" t="inlineStr">
        <is>
          <t>VÄSTRA GÖTALANDS LÄN</t>
        </is>
      </c>
      <c r="G259" t="inlineStr">
        <is>
          <t>SKÖVDE</t>
        </is>
      </c>
      <c r="I259" t="n">
        <v>12.3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46277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46277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2026-09-12T02:13:15Z</dcterms:created>
  <dcterms:modified xmlns:dcterms="http://purl.org/dc/terms/" xmlns:xsi="http://www.w3.org/2001/XMLSchema-instance" xsi:type="dcterms:W3CDTF">2026-09-12T02:13:16Z</dcterms:modified>
</cp:coreProperties>
</file>