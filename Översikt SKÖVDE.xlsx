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46231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46231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46231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46231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46231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46231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46231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46231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46231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46231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46231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46231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46231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46231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46231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46231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46231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46231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46231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46231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46231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46231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46231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46231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55642-2025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45972</v>
      </c>
      <c r="E35" s="1" t="n">
        <v>46231</v>
      </c>
      <c r="F35" t="inlineStr">
        <is>
          <t>VÄSTRA GÖTALANDS LÄN</t>
        </is>
      </c>
      <c r="G35" t="inlineStr">
        <is>
          <t>SKÖVDE</t>
        </is>
      </c>
      <c r="I35" t="n">
        <v>1.6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HYPERLINK("https://klasma.github.io/Logging_1496/artfynd/A 55642-2025 artfynd.xlsx", "A 55642-2025")</f>
        <v/>
      </c>
      <c r="X35">
        <f>HYPERLINK("https://klasma.github.io/Logging_1496/kartor/A 55642-2025 karta.png", "A 55642-2025")</f>
        <v/>
      </c>
      <c r="Y35">
        <f>HYPERLINK("https://klasma.github.io/Logging_1496/kartor_geotiff/A 55642-2025 georefererad karta.tif", "A 55642-2025")</f>
        <v/>
      </c>
      <c r="AA35">
        <f>HYPERLINK("https://klasma.github.io/Logging_1496/klagomål/A 55642-2025 FSC-klagomål.docx", "A 55642-2025")</f>
        <v/>
      </c>
      <c r="AB35">
        <f>HYPERLINK("https://klasma.github.io/Logging_1496/klagomålsmail/A 55642-2025 FSC-klagomål mail.docx", "A 55642-2025")</f>
        <v/>
      </c>
      <c r="AC35">
        <f>HYPERLINK("https://klasma.github.io/Logging_1496/tillsyn/A 55642-2025 tillsynsbegäran.docx", "A 55642-2025")</f>
        <v/>
      </c>
      <c r="AD35">
        <f>HYPERLINK("https://klasma.github.io/Logging_1496/tillsynsmail/A 55642-2025 tillsynsbegäran mail.docx", "A 55642-2025")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46231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46231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46231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46231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46231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46231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46231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46231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46231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46231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46231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46231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Svinrot</t>
        </is>
      </c>
      <c r="W47">
        <f>HYPERLINK("https://klasma.github.io/Logging_1496/artfynd/A 6093-2026 artfynd.xlsx", "A 6093-2026")</f>
        <v/>
      </c>
      <c r="X47">
        <f>HYPERLINK("https://klasma.github.io/Logging_1496/kartor/A 6093-2026 karta.png", "A 6093-2026")</f>
        <v/>
      </c>
      <c r="Y47">
        <f>HYPERLINK("https://klasma.github.io/Logging_1496/kartor_geotiff/A 6093-2026 georefererad karta.tif", "A 6093-2026")</f>
        <v/>
      </c>
      <c r="AA47">
        <f>HYPERLINK("https://klasma.github.io/Logging_1496/klagomål/A 6093-2026 FSC-klagomål.docx", "A 6093-2026")</f>
        <v/>
      </c>
      <c r="AB47">
        <f>HYPERLINK("https://klasma.github.io/Logging_1496/klagomålsmail/A 6093-2026 FSC-klagomål mail.docx", "A 6093-2026")</f>
        <v/>
      </c>
      <c r="AC47">
        <f>HYPERLINK("https://klasma.github.io/Logging_1496/tillsyn/A 6093-2026 tillsynsbegäran.docx", "A 6093-2026")</f>
        <v/>
      </c>
      <c r="AD47">
        <f>HYPERLINK("https://klasma.github.io/Logging_1496/tillsynsmail/A 6093-2026 tillsynsbegäran mail.docx", "A 6093-2026")</f>
        <v/>
      </c>
    </row>
    <row r="48" ht="15" customHeight="1">
      <c r="A48" t="inlineStr">
        <is>
          <t>A 61213-2024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46231</v>
      </c>
      <c r="F48" t="inlineStr">
        <is>
          <t>VÄSTRA GÖTALANDS LÄN</t>
        </is>
      </c>
      <c r="G48" t="inlineStr">
        <is>
          <t>SKÖVDE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61213-2024 artfynd.xlsx", "A 61213-2024")</f>
        <v/>
      </c>
      <c r="X48">
        <f>HYPERLINK("https://klasma.github.io/Logging_1496/kartor/A 61213-2024 karta.png", "A 61213-2024")</f>
        <v/>
      </c>
      <c r="Y48">
        <f>HYPERLINK("https://klasma.github.io/Logging_1496/kartor_geotiff/A 61213-2024 georefererad karta.tif", "A 61213-2024")</f>
        <v/>
      </c>
      <c r="AA48">
        <f>HYPERLINK("https://klasma.github.io/Logging_1496/klagomål/A 61213-2024 FSC-klagomål.docx", "A 61213-2024")</f>
        <v/>
      </c>
      <c r="AB48">
        <f>HYPERLINK("https://klasma.github.io/Logging_1496/klagomålsmail/A 61213-2024 FSC-klagomål mail.docx", "A 61213-2024")</f>
        <v/>
      </c>
      <c r="AC48">
        <f>HYPERLINK("https://klasma.github.io/Logging_1496/tillsyn/A 61213-2024 tillsynsbegäran.docx", "A 61213-2024")</f>
        <v/>
      </c>
      <c r="AD48">
        <f>HYPERLINK("https://klasma.github.io/Logging_1496/tillsynsmail/A 61213-2024 tillsynsbegäran mail.docx", "A 61213-2024")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46231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46231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46231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29011-2023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46231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5.4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29011-2023 artfynd.xlsx", "A 29011-2023")</f>
        <v/>
      </c>
      <c r="X52">
        <f>HYPERLINK("https://klasma.github.io/Logging_1496/kartor/A 29011-2023 karta.png", "A 29011-2023")</f>
        <v/>
      </c>
      <c r="Y52">
        <f>HYPERLINK("https://klasma.github.io/Logging_1496/kartor_geotiff/A 29011-2023 georefererad karta.tif", "A 29011-2023")</f>
        <v/>
      </c>
      <c r="AA52">
        <f>HYPERLINK("https://klasma.github.io/Logging_1496/klagomål/A 29011-2023 FSC-klagomål.docx", "A 29011-2023")</f>
        <v/>
      </c>
      <c r="AB52">
        <f>HYPERLINK("https://klasma.github.io/Logging_1496/klagomålsmail/A 29011-2023 FSC-klagomål mail.docx", "A 29011-2023")</f>
        <v/>
      </c>
      <c r="AC52">
        <f>HYPERLINK("https://klasma.github.io/Logging_1496/tillsyn/A 29011-2023 tillsynsbegäran.docx", "A 29011-2023")</f>
        <v/>
      </c>
      <c r="AD52">
        <f>HYPERLINK("https://klasma.github.io/Logging_1496/tillsynsmail/A 29011-2023 tillsynsbegäran mail.docx", "A 29011-2023")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46231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15417-2023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46231</v>
      </c>
      <c r="F54" t="inlineStr">
        <is>
          <t>VÄSTRA GÖTALANDS LÄN</t>
        </is>
      </c>
      <c r="G54" t="inlineStr">
        <is>
          <t>SKÖVDE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Gullpudra</t>
        </is>
      </c>
      <c r="W54">
        <f>HYPERLINK("https://klasma.github.io/Logging_1496/artfynd/A 15417-2023 artfynd.xlsx", "A 15417-2023")</f>
        <v/>
      </c>
      <c r="X54">
        <f>HYPERLINK("https://klasma.github.io/Logging_1496/kartor/A 15417-2023 karta.png", "A 15417-2023")</f>
        <v/>
      </c>
      <c r="Y54">
        <f>HYPERLINK("https://klasma.github.io/Logging_1496/kartor_geotiff/A 15417-2023 georefererad karta.tif", "A 15417-2023")</f>
        <v/>
      </c>
      <c r="AA54">
        <f>HYPERLINK("https://klasma.github.io/Logging_1496/klagomål/A 15417-2023 FSC-klagomål.docx", "A 15417-2023")</f>
        <v/>
      </c>
      <c r="AB54">
        <f>HYPERLINK("https://klasma.github.io/Logging_1496/klagomålsmail/A 15417-2023 FSC-klagomål mail.docx", "A 15417-2023")</f>
        <v/>
      </c>
      <c r="AC54">
        <f>HYPERLINK("https://klasma.github.io/Logging_1496/tillsyn/A 15417-2023 tillsynsbegäran.docx", "A 15417-2023")</f>
        <v/>
      </c>
      <c r="AD54">
        <f>HYPERLINK("https://klasma.github.io/Logging_1496/tillsynsmail/A 15417-2023 tillsynsbegäran mail.docx", "A 15417-2023")</f>
        <v/>
      </c>
    </row>
    <row r="55" ht="15" customHeight="1">
      <c r="A55" t="inlineStr">
        <is>
          <t>A 10602-2023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44988</v>
      </c>
      <c r="E55" s="1" t="n">
        <v>46231</v>
      </c>
      <c r="F55" t="inlineStr">
        <is>
          <t>VÄSTRA GÖTALANDS LÄN</t>
        </is>
      </c>
      <c r="G55" t="inlineStr">
        <is>
          <t>SKÖVDE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10602-2023 artfynd.xlsx", "A 10602-2023")</f>
        <v/>
      </c>
      <c r="X55">
        <f>HYPERLINK("https://klasma.github.io/Logging_1496/kartor/A 10602-2023 karta.png", "A 10602-2023")</f>
        <v/>
      </c>
      <c r="Y55">
        <f>HYPERLINK("https://klasma.github.io/Logging_1496/kartor_geotiff/A 10602-2023 georefererad karta.tif", "A 10602-2023")</f>
        <v/>
      </c>
      <c r="AA55">
        <f>HYPERLINK("https://klasma.github.io/Logging_1496/klagomål/A 10602-2023 FSC-klagomål.docx", "A 10602-2023")</f>
        <v/>
      </c>
      <c r="AB55">
        <f>HYPERLINK("https://klasma.github.io/Logging_1496/klagomålsmail/A 10602-2023 FSC-klagomål mail.docx", "A 10602-2023")</f>
        <v/>
      </c>
      <c r="AC55">
        <f>HYPERLINK("https://klasma.github.io/Logging_1496/tillsyn/A 10602-2023 tillsynsbegäran.docx", "A 10602-2023")</f>
        <v/>
      </c>
      <c r="AD55">
        <f>HYPERLINK("https://klasma.github.io/Logging_1496/tillsynsmail/A 10602-2023 tillsynsbegäran mail.docx", "A 10602-2023")</f>
        <v/>
      </c>
    </row>
    <row r="56" ht="15" customHeight="1">
      <c r="A56" t="inlineStr">
        <is>
          <t>A 47898-2023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46231</v>
      </c>
      <c r="F56" t="inlineStr">
        <is>
          <t>VÄSTRA GÖTALANDS LÄN</t>
        </is>
      </c>
      <c r="G56" t="inlineStr">
        <is>
          <t>SKÖVDE</t>
        </is>
      </c>
      <c r="I56" t="n">
        <v>9.5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Karminticka</t>
        </is>
      </c>
      <c r="W56">
        <f>HYPERLINK("https://klasma.github.io/Logging_1496/artfynd/A 47898-2023 artfynd.xlsx", "A 47898-2023")</f>
        <v/>
      </c>
      <c r="X56">
        <f>HYPERLINK("https://klasma.github.io/Logging_1496/kartor/A 47898-2023 karta.png", "A 47898-2023")</f>
        <v/>
      </c>
      <c r="Y56">
        <f>HYPERLINK("https://klasma.github.io/Logging_1496/kartor_geotiff/A 47898-2023 georefererad karta.tif", "A 47898-2023")</f>
        <v/>
      </c>
      <c r="AA56">
        <f>HYPERLINK("https://klasma.github.io/Logging_1496/klagomål/A 47898-2023 FSC-klagomål.docx", "A 47898-2023")</f>
        <v/>
      </c>
      <c r="AB56">
        <f>HYPERLINK("https://klasma.github.io/Logging_1496/klagomålsmail/A 47898-2023 FSC-klagomål mail.docx", "A 47898-2023")</f>
        <v/>
      </c>
      <c r="AC56">
        <f>HYPERLINK("https://klasma.github.io/Logging_1496/tillsyn/A 47898-2023 tillsynsbegäran.docx", "A 47898-2023")</f>
        <v/>
      </c>
      <c r="AD56">
        <f>HYPERLINK("https://klasma.github.io/Logging_1496/tillsynsmail/A 47898-2023 tillsynsbegäran mail.docx", "A 47898-2023")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46231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52377-2023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45224</v>
      </c>
      <c r="E58" s="1" t="n">
        <v>46231</v>
      </c>
      <c r="F58" t="inlineStr">
        <is>
          <t>VÄSTRA GÖTALANDS LÄN</t>
        </is>
      </c>
      <c r="G58" t="inlineStr">
        <is>
          <t>SKÖVDE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Kransrams</t>
        </is>
      </c>
      <c r="W58">
        <f>HYPERLINK("https://klasma.github.io/Logging_1496/artfynd/A 52377-2023 artfynd.xlsx", "A 52377-2023")</f>
        <v/>
      </c>
      <c r="X58">
        <f>HYPERLINK("https://klasma.github.io/Logging_1496/kartor/A 52377-2023 karta.png", "A 52377-2023")</f>
        <v/>
      </c>
      <c r="Y58">
        <f>HYPERLINK("https://klasma.github.io/Logging_1496/kartor_geotiff/A 52377-2023 georefererad karta.tif", "A 52377-2023")</f>
        <v/>
      </c>
      <c r="AA58">
        <f>HYPERLINK("https://klasma.github.io/Logging_1496/klagomål/A 52377-2023 FSC-klagomål.docx", "A 52377-2023")</f>
        <v/>
      </c>
      <c r="AB58">
        <f>HYPERLINK("https://klasma.github.io/Logging_1496/klagomålsmail/A 52377-2023 FSC-klagomål mail.docx", "A 52377-2023")</f>
        <v/>
      </c>
      <c r="AC58">
        <f>HYPERLINK("https://klasma.github.io/Logging_1496/tillsyn/A 52377-2023 tillsynsbegäran.docx", "A 52377-2023")</f>
        <v/>
      </c>
      <c r="AD58">
        <f>HYPERLINK("https://klasma.github.io/Logging_1496/tillsynsmail/A 52377-2023 tillsynsbegäran mail.docx", "A 52377-2023")</f>
        <v/>
      </c>
    </row>
    <row r="59" ht="15" customHeight="1">
      <c r="A59" t="inlineStr">
        <is>
          <t>A 26800-2026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46185</v>
      </c>
      <c r="E59" s="1" t="n">
        <v>46231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HYPERLINK("https://klasma.github.io/Logging_1496/artfynd/A 26800-2026 artfynd.xlsx", "A 26800-2026")</f>
        <v/>
      </c>
      <c r="X59">
        <f>HYPERLINK("https://klasma.github.io/Logging_1496/kartor/A 26800-2026 karta.png", "A 26800-2026")</f>
        <v/>
      </c>
      <c r="Y59">
        <f>HYPERLINK("https://klasma.github.io/Logging_1496/kartor_geotiff/A 26800-2026 georefererad karta.tif", "A 26800-2026")</f>
        <v/>
      </c>
      <c r="AA59">
        <f>HYPERLINK("https://klasma.github.io/Logging_1496/klagomål/A 26800-2026 FSC-klagomål.docx", "A 26800-2026")</f>
        <v/>
      </c>
      <c r="AB59">
        <f>HYPERLINK("https://klasma.github.io/Logging_1496/klagomålsmail/A 26800-2026 FSC-klagomål mail.docx", "A 26800-2026")</f>
        <v/>
      </c>
      <c r="AC59">
        <f>HYPERLINK("https://klasma.github.io/Logging_1496/tillsyn/A 26800-2026 tillsynsbegäran.docx", "A 26800-2026")</f>
        <v/>
      </c>
      <c r="AD59">
        <f>HYPERLINK("https://klasma.github.io/Logging_1496/tillsynsmail/A 26800-2026 tillsynsbegäran mail.docx", "A 26800-2026")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46231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46231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35919-2023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46231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Svinrot</t>
        </is>
      </c>
      <c r="W62">
        <f>HYPERLINK("https://klasma.github.io/Logging_1496/artfynd/A 35919-2023 artfynd.xlsx", "A 35919-2023")</f>
        <v/>
      </c>
      <c r="X62">
        <f>HYPERLINK("https://klasma.github.io/Logging_1496/kartor/A 35919-2023 karta.png", "A 35919-2023")</f>
        <v/>
      </c>
      <c r="Y62">
        <f>HYPERLINK("https://klasma.github.io/Logging_1496/kartor_geotiff/A 35919-2023 georefererad karta.tif", "A 35919-2023")</f>
        <v/>
      </c>
      <c r="AA62">
        <f>HYPERLINK("https://klasma.github.io/Logging_1496/klagomål/A 35919-2023 FSC-klagomål.docx", "A 35919-2023")</f>
        <v/>
      </c>
      <c r="AB62">
        <f>HYPERLINK("https://klasma.github.io/Logging_1496/klagomålsmail/A 35919-2023 FSC-klagomål mail.docx", "A 35919-2023")</f>
        <v/>
      </c>
      <c r="AC62">
        <f>HYPERLINK("https://klasma.github.io/Logging_1496/tillsyn/A 35919-2023 tillsynsbegäran.docx", "A 35919-2023")</f>
        <v/>
      </c>
      <c r="AD62">
        <f>HYPERLINK("https://klasma.github.io/Logging_1496/tillsynsmail/A 35919-2023 tillsynsbegäran mail.docx", "A 35919-2023")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46231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Grönvit nattviol</t>
        </is>
      </c>
      <c r="W63">
        <f>HYPERLINK("https://klasma.github.io/Logging_1496/artfynd/A 42904-2023 artfynd.xlsx", "A 42904-2023")</f>
        <v/>
      </c>
      <c r="X63">
        <f>HYPERLINK("https://klasma.github.io/Logging_1496/kartor/A 42904-2023 karta.png", "A 42904-2023")</f>
        <v/>
      </c>
      <c r="Y63">
        <f>HYPERLINK("https://klasma.github.io/Logging_1496/kartor_geotiff/A 42904-2023 georefererad karta.tif", "A 42904-2023")</f>
        <v/>
      </c>
      <c r="AA63">
        <f>HYPERLINK("https://klasma.github.io/Logging_1496/klagomål/A 42904-2023 FSC-klagomål.docx", "A 42904-2023")</f>
        <v/>
      </c>
      <c r="AB63">
        <f>HYPERLINK("https://klasma.github.io/Logging_1496/klagomålsmail/A 42904-2023 FSC-klagomål mail.docx", "A 42904-2023")</f>
        <v/>
      </c>
      <c r="AC63">
        <f>HYPERLINK("https://klasma.github.io/Logging_1496/tillsyn/A 42904-2023 tillsynsbegäran.docx", "A 42904-2023")</f>
        <v/>
      </c>
      <c r="AD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46231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46231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46231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46231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46231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46231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46231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46231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46231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46231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46231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46231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46231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46231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46231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46231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46231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46231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46231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46231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46231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46231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46231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46231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46231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46231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46231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46231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46231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46231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46231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46231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46231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46231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46231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46231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46231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46231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46231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46231</v>
      </c>
      <c r="F104" t="inlineStr">
        <is>
          <t>VÄSTRA GÖTALANDS LÄN</t>
        </is>
      </c>
      <c r="G104" t="inlineStr">
        <is>
          <t>SKÖVDE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46231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46231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46231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25639-2025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45800</v>
      </c>
      <c r="E108" s="1" t="n">
        <v>46231</v>
      </c>
      <c r="F108" t="inlineStr">
        <is>
          <t>VÄSTRA GÖTALANDS LÄN</t>
        </is>
      </c>
      <c r="G108" t="inlineStr">
        <is>
          <t>SKÖVDE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46231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25642-2025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45803</v>
      </c>
      <c r="E110" s="1" t="n">
        <v>46231</v>
      </c>
      <c r="F110" t="inlineStr">
        <is>
          <t>VÄSTRA GÖTALANDS LÄN</t>
        </is>
      </c>
      <c r="G110" t="inlineStr">
        <is>
          <t>SKÖVDE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46231</v>
      </c>
      <c r="F111" t="inlineStr">
        <is>
          <t>VÄSTRA GÖTALANDS LÄN</t>
        </is>
      </c>
      <c r="G111" t="inlineStr">
        <is>
          <t>SKÖVDE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46231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46231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46231</v>
      </c>
      <c r="F114" t="inlineStr">
        <is>
          <t>VÄSTRA GÖTALANDS LÄN</t>
        </is>
      </c>
      <c r="G114" t="inlineStr">
        <is>
          <t>SKÖVDE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46231</v>
      </c>
      <c r="F115" t="inlineStr">
        <is>
          <t>VÄSTRA GÖTALANDS LÄN</t>
        </is>
      </c>
      <c r="G115" t="inlineStr">
        <is>
          <t>SKÖVDE</t>
        </is>
      </c>
      <c r="I115" t="n">
        <v>12.3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46231</v>
      </c>
      <c r="F116" t="inlineStr">
        <is>
          <t>VÄSTRA GÖTALANDS LÄN</t>
        </is>
      </c>
      <c r="G116" t="inlineStr">
        <is>
          <t>SKÖVDE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46231</v>
      </c>
      <c r="F117" t="inlineStr">
        <is>
          <t>VÄSTRA GÖTALANDS LÄN</t>
        </is>
      </c>
      <c r="G117" t="inlineStr">
        <is>
          <t>SKÖVDE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46231</v>
      </c>
      <c r="F118" t="inlineStr">
        <is>
          <t>VÄSTRA GÖTALANDS LÄN</t>
        </is>
      </c>
      <c r="G118" t="inlineStr">
        <is>
          <t>SKÖVDE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46231</v>
      </c>
      <c r="F119" t="inlineStr">
        <is>
          <t>VÄSTRA GÖTALANDS LÄN</t>
        </is>
      </c>
      <c r="G119" t="inlineStr">
        <is>
          <t>SKÖVDE</t>
        </is>
      </c>
      <c r="I119" t="n">
        <v>11.8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46231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46231</v>
      </c>
      <c r="F121" t="inlineStr">
        <is>
          <t>VÄSTRA GÖTALANDS LÄN</t>
        </is>
      </c>
      <c r="G121" t="inlineStr">
        <is>
          <t>SKÖVDE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46231</v>
      </c>
      <c r="F122" t="inlineStr">
        <is>
          <t>VÄSTRA GÖTALANDS LÄN</t>
        </is>
      </c>
      <c r="G122" t="inlineStr">
        <is>
          <t>SKÖVDE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46231</v>
      </c>
      <c r="F123" t="inlineStr">
        <is>
          <t>VÄSTRA GÖTALANDS LÄN</t>
        </is>
      </c>
      <c r="G123" t="inlineStr">
        <is>
          <t>SKÖVDE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29017-2025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46231</v>
      </c>
      <c r="F124" t="inlineStr">
        <is>
          <t>VÄSTRA GÖTALANDS LÄN</t>
        </is>
      </c>
      <c r="G124" t="inlineStr">
        <is>
          <t>SKÖVDE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6092-2026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46052</v>
      </c>
      <c r="E125" s="1" t="n">
        <v>46231</v>
      </c>
      <c r="F125" t="inlineStr">
        <is>
          <t>VÄSTRA GÖTALANDS LÄN</t>
        </is>
      </c>
      <c r="G125" t="inlineStr">
        <is>
          <t>SKÖVDE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46231</v>
      </c>
      <c r="F126" t="inlineStr">
        <is>
          <t>VÄSTRA GÖTALANDS LÄN</t>
        </is>
      </c>
      <c r="G126" t="inlineStr">
        <is>
          <t>SKÖVDE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46051</v>
      </c>
      <c r="E127" s="1" t="n">
        <v>46231</v>
      </c>
      <c r="F127" t="inlineStr">
        <is>
          <t>VÄSTRA GÖTALANDS LÄN</t>
        </is>
      </c>
      <c r="G127" t="inlineStr">
        <is>
          <t>SKÖVDE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46231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46231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Kyrkan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46231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46231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46231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Övriga statliga verk och myndigheter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46231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Övriga statliga verk och myndigheter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46231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46231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Övriga statliga verk och myndigheter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46231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46231</v>
      </c>
      <c r="F137" t="inlineStr">
        <is>
          <t>VÄSTRA GÖTALANDS LÄN</t>
        </is>
      </c>
      <c r="G137" t="inlineStr">
        <is>
          <t>SKÖVDE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46231</v>
      </c>
      <c r="F138" t="inlineStr">
        <is>
          <t>VÄSTRA GÖTALANDS LÄN</t>
        </is>
      </c>
      <c r="G138" t="inlineStr">
        <is>
          <t>SKÖVDE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46231</v>
      </c>
      <c r="F139" t="inlineStr">
        <is>
          <t>VÄSTRA GÖTALANDS LÄN</t>
        </is>
      </c>
      <c r="G139" t="inlineStr">
        <is>
          <t>SKÖVDE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45853</v>
      </c>
      <c r="E140" s="1" t="n">
        <v>46231</v>
      </c>
      <c r="F140" t="inlineStr">
        <is>
          <t>VÄSTRA GÖTALANDS LÄN</t>
        </is>
      </c>
      <c r="G140" t="inlineStr">
        <is>
          <t>SKÖVDE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46231</v>
      </c>
      <c r="F141" t="inlineStr">
        <is>
          <t>VÄSTRA GÖTALANDS LÄN</t>
        </is>
      </c>
      <c r="G141" t="inlineStr">
        <is>
          <t>SKÖVDE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46231</v>
      </c>
      <c r="F142" t="inlineStr">
        <is>
          <t>VÄSTRA GÖTALANDS LÄN</t>
        </is>
      </c>
      <c r="G142" t="inlineStr">
        <is>
          <t>SKÖVDE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45635</v>
      </c>
      <c r="E143" s="1" t="n">
        <v>46231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46231</v>
      </c>
      <c r="F144" t="inlineStr">
        <is>
          <t>VÄSTRA GÖTALANDS LÄN</t>
        </is>
      </c>
      <c r="G144" t="inlineStr">
        <is>
          <t>SKÖVDE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46231</v>
      </c>
      <c r="F145" t="inlineStr">
        <is>
          <t>VÄSTRA GÖTALANDS LÄN</t>
        </is>
      </c>
      <c r="G145" t="inlineStr">
        <is>
          <t>SKÖVDE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46231</v>
      </c>
      <c r="F146" t="inlineStr">
        <is>
          <t>VÄSTRA GÖTALANDS LÄN</t>
        </is>
      </c>
      <c r="G146" t="inlineStr">
        <is>
          <t>SKÖVDE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46231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45439</v>
      </c>
      <c r="E148" s="1" t="n">
        <v>46231</v>
      </c>
      <c r="F148" t="inlineStr">
        <is>
          <t>VÄSTRA GÖTALANDS LÄN</t>
        </is>
      </c>
      <c r="G148" t="inlineStr">
        <is>
          <t>SKÖVDE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44425</v>
      </c>
      <c r="E149" s="1" t="n">
        <v>46231</v>
      </c>
      <c r="F149" t="inlineStr">
        <is>
          <t>VÄSTRA GÖTALANDS LÄN</t>
        </is>
      </c>
      <c r="G149" t="inlineStr">
        <is>
          <t>SKÖVDE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46231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46231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46231</v>
      </c>
      <c r="F152" t="inlineStr">
        <is>
          <t>VÄSTRA GÖTALANDS LÄN</t>
        </is>
      </c>
      <c r="G152" t="inlineStr">
        <is>
          <t>SKÖVDE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46231</v>
      </c>
      <c r="F153" t="inlineStr">
        <is>
          <t>VÄSTRA GÖTALANDS LÄN</t>
        </is>
      </c>
      <c r="G153" t="inlineStr">
        <is>
          <t>SKÖVDE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46231</v>
      </c>
      <c r="F154" t="inlineStr">
        <is>
          <t>VÄSTRA GÖTALANDS LÄN</t>
        </is>
      </c>
      <c r="G154" t="inlineStr">
        <is>
          <t>SKÖVDE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46091</v>
      </c>
      <c r="E155" s="1" t="n">
        <v>46231</v>
      </c>
      <c r="F155" t="inlineStr">
        <is>
          <t>VÄSTRA GÖTALANDS LÄN</t>
        </is>
      </c>
      <c r="G155" t="inlineStr">
        <is>
          <t>SKÖVDE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45709</v>
      </c>
      <c r="E156" s="1" t="n">
        <v>46231</v>
      </c>
      <c r="F156" t="inlineStr">
        <is>
          <t>VÄSTRA GÖTALANDS LÄN</t>
        </is>
      </c>
      <c r="G156" t="inlineStr">
        <is>
          <t>SKÖVDE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46231</v>
      </c>
      <c r="F157" t="inlineStr">
        <is>
          <t>VÄSTRA GÖTALANDS LÄN</t>
        </is>
      </c>
      <c r="G157" t="inlineStr">
        <is>
          <t>SKÖVDE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46231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46231</v>
      </c>
      <c r="F159" t="inlineStr">
        <is>
          <t>VÄSTRA GÖTALANDS LÄN</t>
        </is>
      </c>
      <c r="G159" t="inlineStr">
        <is>
          <t>SKÖVDE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44825</v>
      </c>
      <c r="E160" s="1" t="n">
        <v>46231</v>
      </c>
      <c r="F160" t="inlineStr">
        <is>
          <t>VÄSTRA GÖTALANDS LÄN</t>
        </is>
      </c>
      <c r="G160" t="inlineStr">
        <is>
          <t>SKÖVDE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46231</v>
      </c>
      <c r="F161" t="inlineStr">
        <is>
          <t>VÄSTRA GÖTALANDS LÄN</t>
        </is>
      </c>
      <c r="G161" t="inlineStr">
        <is>
          <t>SKÖVDE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46231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13669-2023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45006</v>
      </c>
      <c r="E163" s="1" t="n">
        <v>46231</v>
      </c>
      <c r="F163" t="inlineStr">
        <is>
          <t>VÄSTRA GÖTALANDS LÄN</t>
        </is>
      </c>
      <c r="G163" t="inlineStr">
        <is>
          <t>SKÖVDE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46231</v>
      </c>
      <c r="F164" t="inlineStr">
        <is>
          <t>VÄSTRA GÖTALANDS LÄN</t>
        </is>
      </c>
      <c r="G164" t="inlineStr">
        <is>
          <t>SKÖVDE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46231</v>
      </c>
      <c r="F165" t="inlineStr">
        <is>
          <t>VÄSTRA GÖTALANDS LÄN</t>
        </is>
      </c>
      <c r="G165" t="inlineStr">
        <is>
          <t>SKÖVDE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46231</v>
      </c>
      <c r="F166" t="inlineStr">
        <is>
          <t>VÄSTRA GÖTALANDS LÄN</t>
        </is>
      </c>
      <c r="G166" t="inlineStr">
        <is>
          <t>SKÖVDE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46231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46231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46231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46231</v>
      </c>
      <c r="F170" t="inlineStr">
        <is>
          <t>VÄSTRA GÖTALANDS LÄN</t>
        </is>
      </c>
      <c r="G170" t="inlineStr">
        <is>
          <t>SKÖVDE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46231</v>
      </c>
      <c r="F171" t="inlineStr">
        <is>
          <t>VÄSTRA GÖTALANDS LÄN</t>
        </is>
      </c>
      <c r="G171" t="inlineStr">
        <is>
          <t>SKÖVDE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46231</v>
      </c>
      <c r="F172" t="inlineStr">
        <is>
          <t>VÄSTRA GÖTALANDS LÄN</t>
        </is>
      </c>
      <c r="G172" t="inlineStr">
        <is>
          <t>SKÖVDE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46231</v>
      </c>
      <c r="F173" t="inlineStr">
        <is>
          <t>VÄSTRA GÖTALANDS LÄN</t>
        </is>
      </c>
      <c r="G173" t="inlineStr">
        <is>
          <t>SKÖVDE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46231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46231</v>
      </c>
      <c r="F175" t="inlineStr">
        <is>
          <t>VÄSTRA GÖTALANDS LÄN</t>
        </is>
      </c>
      <c r="G175" t="inlineStr">
        <is>
          <t>SKÖVDE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46231</v>
      </c>
      <c r="F176" t="inlineStr">
        <is>
          <t>VÄSTRA GÖTALANDS LÄN</t>
        </is>
      </c>
      <c r="G176" t="inlineStr">
        <is>
          <t>SKÖVDE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45685</v>
      </c>
      <c r="E177" s="1" t="n">
        <v>46231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46231</v>
      </c>
      <c r="F178" t="inlineStr">
        <is>
          <t>VÄSTRA GÖTALANDS LÄN</t>
        </is>
      </c>
      <c r="G178" t="inlineStr">
        <is>
          <t>SKÖVDE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46231</v>
      </c>
      <c r="F179" t="inlineStr">
        <is>
          <t>VÄSTRA GÖTALANDS LÄN</t>
        </is>
      </c>
      <c r="G179" t="inlineStr">
        <is>
          <t>SKÖVDE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46231</v>
      </c>
      <c r="F180" t="inlineStr">
        <is>
          <t>VÄSTRA GÖTALANDS LÄN</t>
        </is>
      </c>
      <c r="G180" t="inlineStr">
        <is>
          <t>SKÖVDE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46231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46231</v>
      </c>
      <c r="F182" t="inlineStr">
        <is>
          <t>VÄSTRA GÖTALANDS LÄN</t>
        </is>
      </c>
      <c r="G182" t="inlineStr">
        <is>
          <t>SKÖVDE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46231</v>
      </c>
      <c r="F183" t="inlineStr">
        <is>
          <t>VÄSTRA GÖTALANDS LÄN</t>
        </is>
      </c>
      <c r="G183" t="inlineStr">
        <is>
          <t>SKÖVDE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46231</v>
      </c>
      <c r="F184" t="inlineStr">
        <is>
          <t>VÄSTRA GÖTALANDS LÄN</t>
        </is>
      </c>
      <c r="G184" t="inlineStr">
        <is>
          <t>SKÖVDE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46231</v>
      </c>
      <c r="F185" t="inlineStr">
        <is>
          <t>VÄSTRA GÖTALANDS LÄN</t>
        </is>
      </c>
      <c r="G185" t="inlineStr">
        <is>
          <t>SKÖVDE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46231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46231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17798-2024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45418</v>
      </c>
      <c r="E188" s="1" t="n">
        <v>46231</v>
      </c>
      <c r="F188" t="inlineStr">
        <is>
          <t>VÄSTRA GÖTALANDS LÄN</t>
        </is>
      </c>
      <c r="G188" t="inlineStr">
        <is>
          <t>SKÖVDE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46139</v>
      </c>
      <c r="E189" s="1" t="n">
        <v>46231</v>
      </c>
      <c r="F189" t="inlineStr">
        <is>
          <t>VÄSTRA GÖTALANDS LÄN</t>
        </is>
      </c>
      <c r="G189" t="inlineStr">
        <is>
          <t>SKÖVDE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46231</v>
      </c>
      <c r="F190" t="inlineStr">
        <is>
          <t>VÄSTRA GÖTALANDS LÄN</t>
        </is>
      </c>
      <c r="G190" t="inlineStr">
        <is>
          <t>SKÖVDE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46231</v>
      </c>
      <c r="F191" t="inlineStr">
        <is>
          <t>VÄSTRA GÖTALANDS LÄN</t>
        </is>
      </c>
      <c r="G191" t="inlineStr">
        <is>
          <t>SKÖVDE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45306</v>
      </c>
      <c r="E192" s="1" t="n">
        <v>46231</v>
      </c>
      <c r="F192" t="inlineStr">
        <is>
          <t>VÄSTRA GÖTALANDS LÄN</t>
        </is>
      </c>
      <c r="G192" t="inlineStr">
        <is>
          <t>SKÖVDE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46231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46231</v>
      </c>
      <c r="F194" t="inlineStr">
        <is>
          <t>VÄSTRA GÖTALANDS LÄN</t>
        </is>
      </c>
      <c r="G194" t="inlineStr">
        <is>
          <t>SKÖVDE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46231</v>
      </c>
      <c r="F195" t="inlineStr">
        <is>
          <t>VÄSTRA GÖTALANDS LÄN</t>
        </is>
      </c>
      <c r="G195" t="inlineStr">
        <is>
          <t>SKÖVDE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46231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46231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2901-2026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46038</v>
      </c>
      <c r="E198" s="1" t="n">
        <v>46231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46231</v>
      </c>
      <c r="F199" t="inlineStr">
        <is>
          <t>VÄSTRA GÖTALANDS LÄN</t>
        </is>
      </c>
      <c r="G199" t="inlineStr">
        <is>
          <t>SKÖVDE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45958</v>
      </c>
      <c r="E200" s="1" t="n">
        <v>46231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46231</v>
      </c>
      <c r="F201" t="inlineStr">
        <is>
          <t>VÄSTRA GÖTALANDS LÄN</t>
        </is>
      </c>
      <c r="G201" t="inlineStr">
        <is>
          <t>SKÖVDE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45560</v>
      </c>
      <c r="E202" s="1" t="n">
        <v>46231</v>
      </c>
      <c r="F202" t="inlineStr">
        <is>
          <t>VÄSTRA GÖTALANDS LÄN</t>
        </is>
      </c>
      <c r="G202" t="inlineStr">
        <is>
          <t>SKÖVDE</t>
        </is>
      </c>
      <c r="I202" t="n">
        <v>10.1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45590</v>
      </c>
      <c r="E203" s="1" t="n">
        <v>46231</v>
      </c>
      <c r="F203" t="inlineStr">
        <is>
          <t>VÄSTRA GÖTALANDS LÄN</t>
        </is>
      </c>
      <c r="G203" t="inlineStr">
        <is>
          <t>SKÖVDE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46231</v>
      </c>
      <c r="F204" t="inlineStr">
        <is>
          <t>VÄSTRA GÖTALANDS LÄN</t>
        </is>
      </c>
      <c r="G204" t="inlineStr">
        <is>
          <t>SKÖVDE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46231</v>
      </c>
      <c r="F205" t="inlineStr">
        <is>
          <t>VÄSTRA GÖTALANDS LÄN</t>
        </is>
      </c>
      <c r="G205" t="inlineStr">
        <is>
          <t>SKÖVDE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46231</v>
      </c>
      <c r="F206" t="inlineStr">
        <is>
          <t>VÄSTRA GÖTALANDS LÄN</t>
        </is>
      </c>
      <c r="G206" t="inlineStr">
        <is>
          <t>SKÖVDE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46231</v>
      </c>
      <c r="F207" t="inlineStr">
        <is>
          <t>VÄSTRA GÖTALANDS LÄN</t>
        </is>
      </c>
      <c r="G207" t="inlineStr">
        <is>
          <t>SKÖVDE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46231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46231</v>
      </c>
      <c r="F209" t="inlineStr">
        <is>
          <t>VÄSTRA GÖTALANDS LÄN</t>
        </is>
      </c>
      <c r="G209" t="inlineStr">
        <is>
          <t>SKÖVDE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46185</v>
      </c>
      <c r="E210" s="1" t="n">
        <v>46231</v>
      </c>
      <c r="F210" t="inlineStr">
        <is>
          <t>VÄSTRA GÖTALANDS LÄN</t>
        </is>
      </c>
      <c r="G210" t="inlineStr">
        <is>
          <t>SKÖVDE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45385</v>
      </c>
      <c r="E211" s="1" t="n">
        <v>46231</v>
      </c>
      <c r="F211" t="inlineStr">
        <is>
          <t>VÄSTRA GÖTALANDS LÄN</t>
        </is>
      </c>
      <c r="G211" t="inlineStr">
        <is>
          <t>SKÖVDE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26914-2026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46185</v>
      </c>
      <c r="E212" s="1" t="n">
        <v>46231</v>
      </c>
      <c r="F212" t="inlineStr">
        <is>
          <t>VÄSTRA GÖTALANDS LÄN</t>
        </is>
      </c>
      <c r="G212" t="inlineStr">
        <is>
          <t>SKÖVDE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46231</v>
      </c>
      <c r="F213" t="inlineStr">
        <is>
          <t>VÄSTRA GÖTALANDS LÄN</t>
        </is>
      </c>
      <c r="G213" t="inlineStr">
        <is>
          <t>SKÖVDE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46231</v>
      </c>
      <c r="F214" t="inlineStr">
        <is>
          <t>VÄSTRA GÖTALANDS LÄN</t>
        </is>
      </c>
      <c r="G214" t="inlineStr">
        <is>
          <t>SKÖVDE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46231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46231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46231</v>
      </c>
      <c r="F217" t="inlineStr">
        <is>
          <t>VÄSTRA GÖTALANDS LÄN</t>
        </is>
      </c>
      <c r="G217" t="inlineStr">
        <is>
          <t>SKÖVDE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46231</v>
      </c>
      <c r="F218" t="inlineStr">
        <is>
          <t>VÄSTRA GÖTALANDS LÄN</t>
        </is>
      </c>
      <c r="G218" t="inlineStr">
        <is>
          <t>SKÖVDE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46231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46231</v>
      </c>
      <c r="F220" t="inlineStr">
        <is>
          <t>VÄSTRA GÖTALANDS LÄN</t>
        </is>
      </c>
      <c r="G220" t="inlineStr">
        <is>
          <t>SKÖVDE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46231</v>
      </c>
      <c r="F221" t="inlineStr">
        <is>
          <t>VÄSTRA GÖTALANDS LÄN</t>
        </is>
      </c>
      <c r="G221" t="inlineStr">
        <is>
          <t>SKÖVDE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46231</v>
      </c>
      <c r="F222" t="inlineStr">
        <is>
          <t>VÄSTRA GÖTALANDS LÄN</t>
        </is>
      </c>
      <c r="G222" t="inlineStr">
        <is>
          <t>SKÖVDE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46231</v>
      </c>
      <c r="F223" t="inlineStr">
        <is>
          <t>VÄSTRA GÖTALANDS LÄN</t>
        </is>
      </c>
      <c r="G223" t="inlineStr">
        <is>
          <t>SKÖVDE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46231</v>
      </c>
      <c r="F224" t="inlineStr">
        <is>
          <t>VÄSTRA GÖTALANDS LÄN</t>
        </is>
      </c>
      <c r="G224" t="inlineStr">
        <is>
          <t>SKÖVDE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46231</v>
      </c>
      <c r="F225" t="inlineStr">
        <is>
          <t>VÄSTRA GÖTALANDS LÄN</t>
        </is>
      </c>
      <c r="G225" t="inlineStr">
        <is>
          <t>SKÖVDE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44586</v>
      </c>
      <c r="E226" s="1" t="n">
        <v>46231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62811-2025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46008</v>
      </c>
      <c r="E227" s="1" t="n">
        <v>46231</v>
      </c>
      <c r="F227" t="inlineStr">
        <is>
          <t>VÄSTRA GÖTALANDS LÄN</t>
        </is>
      </c>
      <c r="G227" t="inlineStr">
        <is>
          <t>SKÖVDE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46231</v>
      </c>
      <c r="F228" t="inlineStr">
        <is>
          <t>VÄSTRA GÖTALANDS LÄN</t>
        </is>
      </c>
      <c r="G228" t="inlineStr">
        <is>
          <t>SKÖVDE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46008</v>
      </c>
      <c r="E229" s="1" t="n">
        <v>46231</v>
      </c>
      <c r="F229" t="inlineStr">
        <is>
          <t>VÄSTRA GÖTALANDS LÄN</t>
        </is>
      </c>
      <c r="G229" t="inlineStr">
        <is>
          <t>SKÖVDE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46231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46231</v>
      </c>
      <c r="F231" t="inlineStr">
        <is>
          <t>VÄSTRA GÖTALANDS LÄN</t>
        </is>
      </c>
      <c r="G231" t="inlineStr">
        <is>
          <t>SKÖVDE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46231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46231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45737</v>
      </c>
      <c r="E234" s="1" t="n">
        <v>46231</v>
      </c>
      <c r="F234" t="inlineStr">
        <is>
          <t>VÄSTRA GÖTALANDS LÄN</t>
        </is>
      </c>
      <c r="G234" t="inlineStr">
        <is>
          <t>SKÖVDE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45636</v>
      </c>
      <c r="E235" s="1" t="n">
        <v>46231</v>
      </c>
      <c r="F235" t="inlineStr">
        <is>
          <t>VÄSTRA GÖTALANDS LÄN</t>
        </is>
      </c>
      <c r="G235" t="inlineStr">
        <is>
          <t>SKÖVDE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44601</v>
      </c>
      <c r="E236" s="1" t="n">
        <v>46231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Kommuner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44418</v>
      </c>
      <c r="E237" s="1" t="n">
        <v>46231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46231</v>
      </c>
      <c r="F238" t="inlineStr">
        <is>
          <t>VÄSTRA GÖTALANDS LÄN</t>
        </is>
      </c>
      <c r="G238" t="inlineStr">
        <is>
          <t>SKÖVDE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46231</v>
      </c>
      <c r="F239" t="inlineStr">
        <is>
          <t>VÄSTRA GÖTALANDS LÄN</t>
        </is>
      </c>
      <c r="G239" t="inlineStr">
        <is>
          <t>SKÖVDE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46231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46231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67134-2021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46231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46231</v>
      </c>
      <c r="F243" t="inlineStr">
        <is>
          <t>VÄSTRA GÖTALANDS LÄN</t>
        </is>
      </c>
      <c r="G243" t="inlineStr">
        <is>
          <t>SKÖVDE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46231</v>
      </c>
      <c r="F244" t="inlineStr">
        <is>
          <t>VÄSTRA GÖTALANDS LÄN</t>
        </is>
      </c>
      <c r="G244" t="inlineStr">
        <is>
          <t>SKÖVDE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46231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60117-2021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44495</v>
      </c>
      <c r="E246" s="1" t="n">
        <v>46231</v>
      </c>
      <c r="F246" t="inlineStr">
        <is>
          <t>VÄSTRA GÖTALANDS LÄN</t>
        </is>
      </c>
      <c r="G246" t="inlineStr">
        <is>
          <t>SKÖVDE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35280-2024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45530</v>
      </c>
      <c r="E247" s="1" t="n">
        <v>46231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46231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46231</v>
      </c>
      <c r="F249" t="inlineStr">
        <is>
          <t>VÄSTRA GÖTALANDS LÄN</t>
        </is>
      </c>
      <c r="G249" t="inlineStr">
        <is>
          <t>SKÖVDE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46231</v>
      </c>
      <c r="F250" t="inlineStr">
        <is>
          <t>VÄSTRA GÖTALANDS LÄN</t>
        </is>
      </c>
      <c r="G250" t="inlineStr">
        <is>
          <t>SKÖVDE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45687</v>
      </c>
      <c r="E251" s="1" t="n">
        <v>46231</v>
      </c>
      <c r="F251" t="inlineStr">
        <is>
          <t>VÄSTRA GÖTALANDS LÄN</t>
        </is>
      </c>
      <c r="G251" t="inlineStr">
        <is>
          <t>SKÖVDE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46231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27671-2022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46231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46231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46231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46231</v>
      </c>
      <c r="F256" t="inlineStr">
        <is>
          <t>VÄSTRA GÖTALANDS LÄN</t>
        </is>
      </c>
      <c r="G256" t="inlineStr">
        <is>
          <t>SKÖVDE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46231</v>
      </c>
      <c r="F257" t="inlineStr">
        <is>
          <t>VÄSTRA GÖTALANDS LÄN</t>
        </is>
      </c>
      <c r="G257" t="inlineStr">
        <is>
          <t>SKÖVDE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60588-2023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45259</v>
      </c>
      <c r="E258" s="1" t="n">
        <v>46231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46231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46231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45710</v>
      </c>
      <c r="E261" s="1" t="n">
        <v>46231</v>
      </c>
      <c r="F261" t="inlineStr">
        <is>
          <t>VÄSTRA GÖTALANDS LÄN</t>
        </is>
      </c>
      <c r="G261" t="inlineStr">
        <is>
          <t>SKÖVDE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46231</v>
      </c>
      <c r="F262" t="inlineStr">
        <is>
          <t>VÄSTRA GÖTALANDS LÄN</t>
        </is>
      </c>
      <c r="G262" t="inlineStr">
        <is>
          <t>SKÖVDE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46231</v>
      </c>
      <c r="F263" t="inlineStr">
        <is>
          <t>VÄSTRA GÖTALANDS LÄN</t>
        </is>
      </c>
      <c r="G263" t="inlineStr">
        <is>
          <t>SKÖVDE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46231</v>
      </c>
      <c r="F264" t="inlineStr">
        <is>
          <t>VÄSTRA GÖTALANDS LÄN</t>
        </is>
      </c>
      <c r="G264" t="inlineStr">
        <is>
          <t>SKÖVDE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46231</v>
      </c>
      <c r="F265" t="inlineStr">
        <is>
          <t>VÄSTRA GÖTALANDS LÄN</t>
        </is>
      </c>
      <c r="G265" t="inlineStr">
        <is>
          <t>SKÖVDE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46231</v>
      </c>
      <c r="F266" t="inlineStr">
        <is>
          <t>VÄSTRA GÖTALANDS LÄN</t>
        </is>
      </c>
      <c r="G266" t="inlineStr">
        <is>
          <t>SKÖVDE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45334</v>
      </c>
      <c r="E267" s="1" t="n">
        <v>46231</v>
      </c>
      <c r="F267" t="inlineStr">
        <is>
          <t>VÄSTRA GÖTALANDS LÄN</t>
        </is>
      </c>
      <c r="G267" t="inlineStr">
        <is>
          <t>SKÖVDE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46231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46231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2026-07-28T01:51:21Z</dcterms:created>
  <dcterms:modified xmlns:dcterms="http://purl.org/dc/terms/" xmlns:xsi="http://www.w3.org/2001/XMLSchema-instance" xsi:type="dcterms:W3CDTF">2026-07-28T01:51:22Z</dcterms:modified>
</cp:coreProperties>
</file>